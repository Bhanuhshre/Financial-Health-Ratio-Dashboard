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Raw Data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4" i="1"/>
  <c r="E34"/>
  <c r="D34"/>
  <c r="F31"/>
  <c r="E31"/>
  <c r="D31"/>
  <c r="C31"/>
  <c r="C34" s="1"/>
  <c r="B31"/>
  <c r="B34" s="1"/>
  <c r="F25"/>
  <c r="F35" s="1"/>
  <c r="F22"/>
  <c r="E22"/>
  <c r="E25" s="1"/>
  <c r="E35" s="1"/>
  <c r="D22"/>
  <c r="D25" s="1"/>
  <c r="D35" s="1"/>
  <c r="C22"/>
  <c r="C25" s="1"/>
  <c r="B22"/>
  <c r="B25" s="1"/>
  <c r="F8"/>
  <c r="F10" s="1"/>
  <c r="F12" s="1"/>
  <c r="E8"/>
  <c r="E10" s="1"/>
  <c r="E12" s="1"/>
  <c r="D8"/>
  <c r="D10" s="1"/>
  <c r="D12" s="1"/>
  <c r="C8"/>
  <c r="C10" s="1"/>
  <c r="C12" s="1"/>
  <c r="B8"/>
  <c r="B10" s="1"/>
  <c r="B12" s="1"/>
  <c r="B14" l="1"/>
  <c r="B15" s="1"/>
  <c r="F15"/>
  <c r="F14"/>
  <c r="E15"/>
  <c r="E14"/>
  <c r="D14"/>
  <c r="D15" s="1"/>
  <c r="C15"/>
  <c r="C14"/>
  <c r="C35"/>
  <c r="B35"/>
</calcChain>
</file>

<file path=xl/sharedStrings.xml><?xml version="1.0" encoding="utf-8"?>
<sst xmlns="http://schemas.openxmlformats.org/spreadsheetml/2006/main" count="32" uniqueCount="32">
  <si>
    <t>Meridian Retail Group — Raw Financial Statements, FY2020–FY2024</t>
  </si>
  <si>
    <t>All figures in USD thousands ($000s), fiscal year ended Dec 31. Source: company-prepared financial statements (illustrative dataset).</t>
  </si>
  <si>
    <t>Line Item</t>
  </si>
  <si>
    <t>INCOME STATEMENT</t>
  </si>
  <si>
    <t>Revenue</t>
  </si>
  <si>
    <t>Cost of Goods Sold</t>
  </si>
  <si>
    <t>Gross Profit</t>
  </si>
  <si>
    <t>Operating Expenses (SG&amp;A)</t>
  </si>
  <si>
    <t>Operating Income (EBIT)</t>
  </si>
  <si>
    <t>Interest Expense</t>
  </si>
  <si>
    <t>Earnings Before Tax (EBT)</t>
  </si>
  <si>
    <t>Tax Rate</t>
  </si>
  <si>
    <t>Tax Expense</t>
  </si>
  <si>
    <t>Net Income</t>
  </si>
  <si>
    <t>BALANCE SHEET — ASSETS</t>
  </si>
  <si>
    <t>Cash &amp; Equivalents</t>
  </si>
  <si>
    <t>Accounts Receivable</t>
  </si>
  <si>
    <t>Inventory</t>
  </si>
  <si>
    <t>Other Current Assets</t>
  </si>
  <si>
    <t>Total Current Assets</t>
  </si>
  <si>
    <t>Property, Plant &amp; Equipment (net)</t>
  </si>
  <si>
    <t>Other Long-Term Assets</t>
  </si>
  <si>
    <t>Total Assets</t>
  </si>
  <si>
    <t>BALANCE SHEET — LIABILITIES &amp; EQUITY</t>
  </si>
  <si>
    <t>Accounts Payable</t>
  </si>
  <si>
    <t>Short-Term Debt</t>
  </si>
  <si>
    <t>Other Current Liabilities</t>
  </si>
  <si>
    <t>Total Current Liabilities</t>
  </si>
  <si>
    <t>Long-Term Debt</t>
  </si>
  <si>
    <t>Other Long-Term Liabilities</t>
  </si>
  <si>
    <t>Total Liabilities</t>
  </si>
  <si>
    <t>Total Shareholders' Equity</t>
  </si>
</sst>
</file>

<file path=xl/styles.xml><?xml version="1.0" encoding="utf-8"?>
<styleSheet xmlns="http://schemas.openxmlformats.org/spreadsheetml/2006/main">
  <numFmts count="2">
    <numFmt numFmtId="164" formatCode="#,##0;\(#,##0\);\-"/>
    <numFmt numFmtId="165" formatCode="0.0%"/>
  </numFmts>
  <fonts count="9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 applyAlignment="1" applyProtection="1"/>
    <xf numFmtId="0" fontId="1" fillId="0" borderId="0" xfId="0" applyFont="1" applyBorder="1" applyAlignment="1" applyProtection="1"/>
    <xf numFmtId="0" fontId="0" fillId="0" borderId="0" xfId="0" applyAlignment="1" applyProtection="1"/>
    <xf numFmtId="0" fontId="3" fillId="2" borderId="1" xfId="0" applyFont="1" applyFill="1" applyBorder="1" applyAlignment="1" applyProtection="1">
      <alignment horizontal="center" vertical="center"/>
    </xf>
    <xf numFmtId="0" fontId="4" fillId="3" borderId="0" xfId="0" applyFont="1" applyFill="1" applyAlignment="1" applyProtection="1"/>
    <xf numFmtId="0" fontId="0" fillId="3" borderId="0" xfId="0" applyFill="1" applyAlignment="1" applyProtection="1"/>
    <xf numFmtId="0" fontId="5" fillId="0" borderId="0" xfId="0" applyFont="1" applyAlignment="1" applyProtection="1"/>
    <xf numFmtId="164" fontId="6" fillId="0" borderId="1" xfId="0" applyNumberFormat="1" applyFont="1" applyBorder="1" applyAlignment="1" applyProtection="1"/>
    <xf numFmtId="0" fontId="7" fillId="0" borderId="0" xfId="0" applyFont="1" applyAlignment="1" applyProtection="1"/>
    <xf numFmtId="164" fontId="8" fillId="0" borderId="1" xfId="0" applyNumberFormat="1" applyFont="1" applyBorder="1" applyAlignment="1" applyProtection="1"/>
    <xf numFmtId="165" fontId="6" fillId="0" borderId="1" xfId="0" applyNumberFormat="1" applyFont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defaultColWidth="8.6328125" defaultRowHeight="14.5"/>
  <cols>
    <col min="1" max="1" width="34" style="3" customWidth="1"/>
    <col min="2" max="6" width="13" style="3" customWidth="1"/>
  </cols>
  <sheetData>
    <row r="1" spans="1:6" ht="18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/>
      <c r="C2" s="1"/>
      <c r="D2" s="1"/>
      <c r="E2" s="1"/>
      <c r="F2" s="1"/>
    </row>
    <row r="4" spans="1:6">
      <c r="A4" s="4" t="s">
        <v>2</v>
      </c>
      <c r="B4" s="4">
        <v>2020</v>
      </c>
      <c r="C4" s="4">
        <v>2021</v>
      </c>
      <c r="D4" s="4">
        <v>2022</v>
      </c>
      <c r="E4" s="4">
        <v>2023</v>
      </c>
      <c r="F4" s="4">
        <v>2024</v>
      </c>
    </row>
    <row r="5" spans="1:6">
      <c r="A5" s="5" t="s">
        <v>3</v>
      </c>
      <c r="B5" s="6"/>
      <c r="C5" s="6"/>
      <c r="D5" s="6"/>
      <c r="E5" s="6"/>
      <c r="F5" s="6"/>
    </row>
    <row r="6" spans="1:6">
      <c r="A6" s="7" t="s">
        <v>4</v>
      </c>
      <c r="B6" s="8">
        <v>120000</v>
      </c>
      <c r="C6" s="8">
        <v>138000</v>
      </c>
      <c r="D6" s="8">
        <v>152000</v>
      </c>
      <c r="E6" s="8">
        <v>171000</v>
      </c>
      <c r="F6" s="8">
        <v>196000</v>
      </c>
    </row>
    <row r="7" spans="1:6">
      <c r="A7" s="9" t="s">
        <v>5</v>
      </c>
      <c r="B7" s="8">
        <v>72000</v>
      </c>
      <c r="C7" s="8">
        <v>81420</v>
      </c>
      <c r="D7" s="8">
        <v>89680</v>
      </c>
      <c r="E7" s="8">
        <v>99180</v>
      </c>
      <c r="F7" s="8">
        <v>112420</v>
      </c>
    </row>
    <row r="8" spans="1:6">
      <c r="A8" s="7" t="s">
        <v>6</v>
      </c>
      <c r="B8" s="10">
        <f>B6-B7</f>
        <v>48000</v>
      </c>
      <c r="C8" s="10">
        <f>C6-C7</f>
        <v>56580</v>
      </c>
      <c r="D8" s="10">
        <f>D6-D7</f>
        <v>62320</v>
      </c>
      <c r="E8" s="10">
        <f>E6-E7</f>
        <v>71820</v>
      </c>
      <c r="F8" s="10">
        <f>F6-F7</f>
        <v>83580</v>
      </c>
    </row>
    <row r="9" spans="1:6">
      <c r="A9" s="9" t="s">
        <v>7</v>
      </c>
      <c r="B9" s="8">
        <v>30000</v>
      </c>
      <c r="C9" s="8">
        <v>33000</v>
      </c>
      <c r="D9" s="8">
        <v>35500</v>
      </c>
      <c r="E9" s="8">
        <v>38500</v>
      </c>
      <c r="F9" s="8">
        <v>42000</v>
      </c>
    </row>
    <row r="10" spans="1:6">
      <c r="A10" s="7" t="s">
        <v>8</v>
      </c>
      <c r="B10" s="10">
        <f>B8-B9</f>
        <v>18000</v>
      </c>
      <c r="C10" s="10">
        <f>C8-C9</f>
        <v>23580</v>
      </c>
      <c r="D10" s="10">
        <f>D8-D9</f>
        <v>26820</v>
      </c>
      <c r="E10" s="10">
        <f>E8-E9</f>
        <v>33320</v>
      </c>
      <c r="F10" s="10">
        <f>F8-F9</f>
        <v>41580</v>
      </c>
    </row>
    <row r="11" spans="1:6">
      <c r="A11" s="9" t="s">
        <v>9</v>
      </c>
      <c r="B11" s="8">
        <v>3200</v>
      </c>
      <c r="C11" s="8">
        <v>3000</v>
      </c>
      <c r="D11" s="8">
        <v>2800</v>
      </c>
      <c r="E11" s="8">
        <v>2500</v>
      </c>
      <c r="F11" s="8">
        <v>2200</v>
      </c>
    </row>
    <row r="12" spans="1:6">
      <c r="A12" s="9" t="s">
        <v>10</v>
      </c>
      <c r="B12" s="10">
        <f>B10-B11</f>
        <v>14800</v>
      </c>
      <c r="C12" s="10">
        <f>C10-C11</f>
        <v>20580</v>
      </c>
      <c r="D12" s="10">
        <f>D10-D11</f>
        <v>24020</v>
      </c>
      <c r="E12" s="10">
        <f>E10-E11</f>
        <v>30820</v>
      </c>
      <c r="F12" s="10">
        <f>F10-F11</f>
        <v>39380</v>
      </c>
    </row>
    <row r="13" spans="1:6">
      <c r="A13" s="9" t="s">
        <v>11</v>
      </c>
      <c r="B13" s="11">
        <v>0.25</v>
      </c>
      <c r="C13" s="11">
        <v>0.25</v>
      </c>
      <c r="D13" s="11">
        <v>0.25</v>
      </c>
      <c r="E13" s="11">
        <v>0.25</v>
      </c>
      <c r="F13" s="11">
        <v>0.25</v>
      </c>
    </row>
    <row r="14" spans="1:6">
      <c r="A14" s="9" t="s">
        <v>12</v>
      </c>
      <c r="B14" s="10">
        <f>B12*B13</f>
        <v>3700</v>
      </c>
      <c r="C14" s="10">
        <f>C12*C13</f>
        <v>5145</v>
      </c>
      <c r="D14" s="10">
        <f>D12*D13</f>
        <v>6005</v>
      </c>
      <c r="E14" s="10">
        <f>E12*E13</f>
        <v>7705</v>
      </c>
      <c r="F14" s="10">
        <f>F12*F13</f>
        <v>9845</v>
      </c>
    </row>
    <row r="15" spans="1:6">
      <c r="A15" s="7" t="s">
        <v>13</v>
      </c>
      <c r="B15" s="10">
        <f>B12-B14</f>
        <v>11100</v>
      </c>
      <c r="C15" s="10">
        <f>C12-C14</f>
        <v>15435</v>
      </c>
      <c r="D15" s="10">
        <f>D12-D14</f>
        <v>18015</v>
      </c>
      <c r="E15" s="10">
        <f>E12-E14</f>
        <v>23115</v>
      </c>
      <c r="F15" s="10">
        <f>F12-F14</f>
        <v>29535</v>
      </c>
    </row>
    <row r="17" spans="1:6">
      <c r="A17" s="5" t="s">
        <v>14</v>
      </c>
      <c r="B17" s="6"/>
      <c r="C17" s="6"/>
      <c r="D17" s="6"/>
      <c r="E17" s="6"/>
      <c r="F17" s="6"/>
    </row>
    <row r="18" spans="1:6">
      <c r="A18" s="9" t="s">
        <v>15</v>
      </c>
      <c r="B18" s="8">
        <v>8000</v>
      </c>
      <c r="C18" s="8">
        <v>9500</v>
      </c>
      <c r="D18" s="8">
        <v>11200</v>
      </c>
      <c r="E18" s="8">
        <v>14500</v>
      </c>
      <c r="F18" s="8">
        <v>18700</v>
      </c>
    </row>
    <row r="19" spans="1:6">
      <c r="A19" s="9" t="s">
        <v>16</v>
      </c>
      <c r="B19" s="8">
        <v>12000</v>
      </c>
      <c r="C19" s="8">
        <v>13500</v>
      </c>
      <c r="D19" s="8">
        <v>14800</v>
      </c>
      <c r="E19" s="8">
        <v>16200</v>
      </c>
      <c r="F19" s="8">
        <v>18100</v>
      </c>
    </row>
    <row r="20" spans="1:6">
      <c r="A20" s="9" t="s">
        <v>17</v>
      </c>
      <c r="B20" s="8">
        <v>15000</v>
      </c>
      <c r="C20" s="8">
        <v>16800</v>
      </c>
      <c r="D20" s="8">
        <v>17900</v>
      </c>
      <c r="E20" s="8">
        <v>19200</v>
      </c>
      <c r="F20" s="8">
        <v>20500</v>
      </c>
    </row>
    <row r="21" spans="1:6">
      <c r="A21" s="9" t="s">
        <v>18</v>
      </c>
      <c r="B21" s="8">
        <v>2000</v>
      </c>
      <c r="C21" s="8">
        <v>2200</v>
      </c>
      <c r="D21" s="8">
        <v>2400</v>
      </c>
      <c r="E21" s="8">
        <v>2600</v>
      </c>
      <c r="F21" s="8">
        <v>2800</v>
      </c>
    </row>
    <row r="22" spans="1:6">
      <c r="A22" s="7" t="s">
        <v>19</v>
      </c>
      <c r="B22" s="10">
        <f>SUM(B18:B21)</f>
        <v>37000</v>
      </c>
      <c r="C22" s="10">
        <f>SUM(C18:C21)</f>
        <v>42000</v>
      </c>
      <c r="D22" s="10">
        <f>SUM(D18:D21)</f>
        <v>46300</v>
      </c>
      <c r="E22" s="10">
        <f>SUM(E18:E21)</f>
        <v>52500</v>
      </c>
      <c r="F22" s="10">
        <f>SUM(F18:F21)</f>
        <v>60100</v>
      </c>
    </row>
    <row r="23" spans="1:6">
      <c r="A23" s="9" t="s">
        <v>20</v>
      </c>
      <c r="B23" s="8">
        <v>45000</v>
      </c>
      <c r="C23" s="8">
        <v>47000</v>
      </c>
      <c r="D23" s="8">
        <v>49500</v>
      </c>
      <c r="E23" s="8">
        <v>52000</v>
      </c>
      <c r="F23" s="8">
        <v>55500</v>
      </c>
    </row>
    <row r="24" spans="1:6">
      <c r="A24" s="9" t="s">
        <v>21</v>
      </c>
      <c r="B24" s="8">
        <v>5000</v>
      </c>
      <c r="C24" s="8">
        <v>5200</v>
      </c>
      <c r="D24" s="8">
        <v>5400</v>
      </c>
      <c r="E24" s="8">
        <v>5600</v>
      </c>
      <c r="F24" s="8">
        <v>5800</v>
      </c>
    </row>
    <row r="25" spans="1:6">
      <c r="A25" s="7" t="s">
        <v>22</v>
      </c>
      <c r="B25" s="10">
        <f>B22+B23+B24</f>
        <v>87000</v>
      </c>
      <c r="C25" s="10">
        <f>C22+C23+C24</f>
        <v>94200</v>
      </c>
      <c r="D25" s="10">
        <f>D22+D23+D24</f>
        <v>101200</v>
      </c>
      <c r="E25" s="10">
        <f>E22+E23+E24</f>
        <v>110100</v>
      </c>
      <c r="F25" s="10">
        <f>F22+F23+F24</f>
        <v>121400</v>
      </c>
    </row>
    <row r="27" spans="1:6">
      <c r="A27" s="5" t="s">
        <v>23</v>
      </c>
      <c r="B27" s="6"/>
      <c r="C27" s="6"/>
      <c r="D27" s="6"/>
      <c r="E27" s="6"/>
      <c r="F27" s="6"/>
    </row>
    <row r="28" spans="1:6">
      <c r="A28" s="9" t="s">
        <v>24</v>
      </c>
      <c r="B28" s="8">
        <v>9000</v>
      </c>
      <c r="C28" s="8">
        <v>9800</v>
      </c>
      <c r="D28" s="8">
        <v>10500</v>
      </c>
      <c r="E28" s="8">
        <v>11200</v>
      </c>
      <c r="F28" s="8">
        <v>12000</v>
      </c>
    </row>
    <row r="29" spans="1:6">
      <c r="A29" s="9" t="s">
        <v>25</v>
      </c>
      <c r="B29" s="8">
        <v>4000</v>
      </c>
      <c r="C29" s="8">
        <v>3500</v>
      </c>
      <c r="D29" s="8">
        <v>3000</v>
      </c>
      <c r="E29" s="8">
        <v>2500</v>
      </c>
      <c r="F29" s="8">
        <v>2000</v>
      </c>
    </row>
    <row r="30" spans="1:6">
      <c r="A30" s="9" t="s">
        <v>26</v>
      </c>
      <c r="B30" s="8">
        <v>3000</v>
      </c>
      <c r="C30" s="8">
        <v>3200</v>
      </c>
      <c r="D30" s="8">
        <v>3400</v>
      </c>
      <c r="E30" s="8">
        <v>3600</v>
      </c>
      <c r="F30" s="8">
        <v>3800</v>
      </c>
    </row>
    <row r="31" spans="1:6">
      <c r="A31" s="7" t="s">
        <v>27</v>
      </c>
      <c r="B31" s="10">
        <f>SUM(B28:B30)</f>
        <v>16000</v>
      </c>
      <c r="C31" s="10">
        <f>SUM(C28:C30)</f>
        <v>16500</v>
      </c>
      <c r="D31" s="10">
        <f>SUM(D28:D30)</f>
        <v>16900</v>
      </c>
      <c r="E31" s="10">
        <f>SUM(E28:E30)</f>
        <v>17300</v>
      </c>
      <c r="F31" s="10">
        <f>SUM(F28:F30)</f>
        <v>17800</v>
      </c>
    </row>
    <row r="32" spans="1:6">
      <c r="A32" s="9" t="s">
        <v>28</v>
      </c>
      <c r="B32" s="8">
        <v>25000</v>
      </c>
      <c r="C32" s="8">
        <v>23000</v>
      </c>
      <c r="D32" s="8">
        <v>20500</v>
      </c>
      <c r="E32" s="8">
        <v>18000</v>
      </c>
      <c r="F32" s="8">
        <v>15500</v>
      </c>
    </row>
    <row r="33" spans="1:6">
      <c r="A33" s="9" t="s">
        <v>29</v>
      </c>
      <c r="B33" s="8">
        <v>2000</v>
      </c>
      <c r="C33" s="8">
        <v>2100</v>
      </c>
      <c r="D33" s="8">
        <v>2200</v>
      </c>
      <c r="E33" s="8">
        <v>2300</v>
      </c>
      <c r="F33" s="8">
        <v>2400</v>
      </c>
    </row>
    <row r="34" spans="1:6">
      <c r="A34" s="7" t="s">
        <v>30</v>
      </c>
      <c r="B34" s="10">
        <f>B31+B32+B33</f>
        <v>43000</v>
      </c>
      <c r="C34" s="10">
        <f>C31+C32+C33</f>
        <v>41600</v>
      </c>
      <c r="D34" s="10">
        <f>D31+D32+D33</f>
        <v>39600</v>
      </c>
      <c r="E34" s="10">
        <f>E31+E32+E33</f>
        <v>37600</v>
      </c>
      <c r="F34" s="10">
        <f>F31+F32+F33</f>
        <v>35700</v>
      </c>
    </row>
    <row r="35" spans="1:6">
      <c r="A35" s="7" t="s">
        <v>31</v>
      </c>
      <c r="B35" s="10">
        <f>B25-B34</f>
        <v>44000</v>
      </c>
      <c r="C35" s="10">
        <f>C25-C34</f>
        <v>52600</v>
      </c>
      <c r="D35" s="10">
        <f>D25-D34</f>
        <v>61600</v>
      </c>
      <c r="E35" s="10">
        <f>E25-E34</f>
        <v>72500</v>
      </c>
      <c r="F35" s="10">
        <f>F25-F34</f>
        <v>85700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2026-08-06T06:46:55Z</dcterms:created>
  <dcterms:modified xsi:type="dcterms:W3CDTF">2026-08-07T01:47:57Z</dcterms:modified>
  <dc:language>en-US</dc:language>
</cp:coreProperties>
</file>