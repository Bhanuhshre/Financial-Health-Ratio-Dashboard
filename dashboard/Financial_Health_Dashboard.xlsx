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/>
  </bookViews>
  <sheets>
    <sheet name="Dashboard" sheetId="1" r:id="rId1"/>
    <sheet name="Ratio Calculations" sheetId="2" r:id="rId2"/>
    <sheet name="Raw Data" sheetId="3" r:id="rId3"/>
    <sheet name="Benchmarks" sheetId="4" r:id="rId4"/>
  </sheets>
  <definedNames>
    <definedName name="_xlnm.Print_Area" localSheetId="3">Benchmarks!$A$1:$E$18</definedName>
    <definedName name="_xlnm.Print_Area" localSheetId="0">Dashboard!$A$1:$L$50</definedName>
    <definedName name="_xlnm.Print_Area" localSheetId="1">'Ratio Calculations'!$A$1:$J$20</definedName>
    <definedName name="_xlnm.Print_Area" localSheetId="2">'Raw Data'!$A$1:$F$41</definedName>
  </definedNames>
  <calcPr calcId="12451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4" i="3"/>
  <c r="D34"/>
  <c r="C34"/>
  <c r="B34"/>
  <c r="F31"/>
  <c r="F34" s="1"/>
  <c r="E31"/>
  <c r="D31"/>
  <c r="C31"/>
  <c r="B31"/>
  <c r="F25"/>
  <c r="F35" s="1"/>
  <c r="E25"/>
  <c r="E35" s="1"/>
  <c r="D25"/>
  <c r="D35" s="1"/>
  <c r="C25"/>
  <c r="C35" s="1"/>
  <c r="F22"/>
  <c r="E22"/>
  <c r="D22"/>
  <c r="C22"/>
  <c r="B22"/>
  <c r="B25" s="1"/>
  <c r="B35" s="1"/>
  <c r="F10"/>
  <c r="F12" s="1"/>
  <c r="E10"/>
  <c r="E12" s="1"/>
  <c r="D10"/>
  <c r="D12" s="1"/>
  <c r="F8"/>
  <c r="E8"/>
  <c r="D8"/>
  <c r="C8"/>
  <c r="C10" s="1"/>
  <c r="C12" s="1"/>
  <c r="B8"/>
  <c r="B10" s="1"/>
  <c r="B12" s="1"/>
  <c r="I18" i="2"/>
  <c r="H18"/>
  <c r="J18" s="1"/>
  <c r="G18"/>
  <c r="F18"/>
  <c r="E18"/>
  <c r="D18"/>
  <c r="C18"/>
  <c r="I17"/>
  <c r="H17"/>
  <c r="G17"/>
  <c r="F17"/>
  <c r="E17"/>
  <c r="D17"/>
  <c r="C17"/>
  <c r="I16"/>
  <c r="H16"/>
  <c r="G16"/>
  <c r="F16"/>
  <c r="E16"/>
  <c r="D16"/>
  <c r="C16"/>
  <c r="I15"/>
  <c r="H15"/>
  <c r="J15" s="1"/>
  <c r="I7" i="1" s="1"/>
  <c r="G15" i="2"/>
  <c r="I6" i="1" s="1"/>
  <c r="F15" i="2"/>
  <c r="E15"/>
  <c r="D15"/>
  <c r="C15"/>
  <c r="I14"/>
  <c r="H14"/>
  <c r="G14"/>
  <c r="F14"/>
  <c r="E14"/>
  <c r="D14"/>
  <c r="C14"/>
  <c r="I13"/>
  <c r="H13"/>
  <c r="G13"/>
  <c r="G6" i="1" s="1"/>
  <c r="F13" i="2"/>
  <c r="E13"/>
  <c r="D13"/>
  <c r="C13"/>
  <c r="I12"/>
  <c r="H12"/>
  <c r="G12"/>
  <c r="E6" i="1" s="1"/>
  <c r="F12" i="2"/>
  <c r="E12"/>
  <c r="D12"/>
  <c r="C12"/>
  <c r="I11"/>
  <c r="H11"/>
  <c r="G11"/>
  <c r="F11"/>
  <c r="E11"/>
  <c r="D11"/>
  <c r="C11"/>
  <c r="I10"/>
  <c r="H10"/>
  <c r="J10" s="1"/>
  <c r="C7" i="1" s="1"/>
  <c r="G10" i="2"/>
  <c r="C6" i="1" s="1"/>
  <c r="F10" i="2"/>
  <c r="E10"/>
  <c r="D10"/>
  <c r="C10"/>
  <c r="I9"/>
  <c r="H9"/>
  <c r="G9"/>
  <c r="F9"/>
  <c r="E9"/>
  <c r="D9"/>
  <c r="C9"/>
  <c r="I8"/>
  <c r="H8"/>
  <c r="G8"/>
  <c r="F8"/>
  <c r="E8"/>
  <c r="D8"/>
  <c r="C8"/>
  <c r="I7"/>
  <c r="H7"/>
  <c r="J7" s="1"/>
  <c r="G7"/>
  <c r="F7"/>
  <c r="E7"/>
  <c r="D7"/>
  <c r="C7"/>
  <c r="I6"/>
  <c r="H6"/>
  <c r="G6"/>
  <c r="F6"/>
  <c r="E6"/>
  <c r="D6"/>
  <c r="C6"/>
  <c r="I5"/>
  <c r="H5"/>
  <c r="G5"/>
  <c r="A6" i="1" s="1"/>
  <c r="F5" i="2"/>
  <c r="E5"/>
  <c r="D5"/>
  <c r="C5"/>
  <c r="K6" i="1"/>
  <c r="J8" i="2" l="1"/>
  <c r="J16"/>
  <c r="K7" i="1" s="1"/>
  <c r="J9" i="2"/>
  <c r="J17"/>
  <c r="J11"/>
  <c r="J12"/>
  <c r="E7" i="1" s="1"/>
  <c r="J5" i="2"/>
  <c r="A7" i="1" s="1"/>
  <c r="J13" i="2"/>
  <c r="G7" i="1" s="1"/>
  <c r="J6" i="2"/>
  <c r="J14"/>
  <c r="C15" i="3"/>
  <c r="C14"/>
  <c r="B15"/>
  <c r="B14"/>
  <c r="F14"/>
  <c r="F15" s="1"/>
  <c r="E14"/>
  <c r="E15" s="1"/>
  <c r="D15"/>
  <c r="D14"/>
</calcChain>
</file>

<file path=xl/sharedStrings.xml><?xml version="1.0" encoding="utf-8"?>
<sst xmlns="http://schemas.openxmlformats.org/spreadsheetml/2006/main" count="135" uniqueCount="90">
  <si>
    <t>Meridian Retail Group — Financial Health Dashboard</t>
  </si>
  <si>
    <t>Liquidity, profitability, leverage &amp; efficiency at a glance — FY2020 to FY2024</t>
  </si>
  <si>
    <t>LIQUIDITY</t>
  </si>
  <si>
    <t>PROFITABILITY</t>
  </si>
  <si>
    <t>LEVERAGE</t>
  </si>
  <si>
    <t>EFFICIENCY</t>
  </si>
  <si>
    <t>Current Ratio</t>
  </si>
  <si>
    <t>Net Profit Margin</t>
  </si>
  <si>
    <t>Return on Equity (ROE)</t>
  </si>
  <si>
    <t>Debt-to-Equity</t>
  </si>
  <si>
    <t>Interest Coverage</t>
  </si>
  <si>
    <t>Asset Turnover</t>
  </si>
  <si>
    <t>Financial Ratio Calculations, FY2020–FY2024</t>
  </si>
  <si>
    <t>Every ratio is pulled from the Raw Data sheet with a two-way INDEX-MATCH (row = line item, column = year). Benchmarks are pulled with VLOOKUP; the Rating column uses a nested IF against those benchmarks.</t>
  </si>
  <si>
    <t>Category</t>
  </si>
  <si>
    <t>Ratio</t>
  </si>
  <si>
    <t>2020</t>
  </si>
  <si>
    <t>2021</t>
  </si>
  <si>
    <t>2022</t>
  </si>
  <si>
    <t>2023</t>
  </si>
  <si>
    <t>2024</t>
  </si>
  <si>
    <t>Direction</t>
  </si>
  <si>
    <t>Strong ≥/≤</t>
  </si>
  <si>
    <t>2024 Rating</t>
  </si>
  <si>
    <t>Liquidity</t>
  </si>
  <si>
    <t>Quick Ratio</t>
  </si>
  <si>
    <t>Cash Ratio</t>
  </si>
  <si>
    <t>Profitability</t>
  </si>
  <si>
    <t>Gross Margin</t>
  </si>
  <si>
    <t>Operating Margin</t>
  </si>
  <si>
    <t>Return on Assets (ROA)</t>
  </si>
  <si>
    <t>Leverage</t>
  </si>
  <si>
    <t>Debt-to-Assets</t>
  </si>
  <si>
    <t>Efficiency</t>
  </si>
  <si>
    <t>Inventory Turnover</t>
  </si>
  <si>
    <t>Receivables Turnover</t>
  </si>
  <si>
    <t>Meridian Retail Group — Raw Financial Statements, FY2020–FY2024</t>
  </si>
  <si>
    <t>All figures in USD thousands ($000s), fiscal year ended Dec 31. Blue = input cell. Source: company-prepared financial statements (illustrative dataset).</t>
  </si>
  <si>
    <t>Line Item</t>
  </si>
  <si>
    <t>INCOME STATEMENT</t>
  </si>
  <si>
    <t>Revenue</t>
  </si>
  <si>
    <t>Cost of Goods Sold</t>
  </si>
  <si>
    <t>Gross Profit</t>
  </si>
  <si>
    <t>Operating Expenses (SG&amp;A)</t>
  </si>
  <si>
    <t>Operating Income (EBIT)</t>
  </si>
  <si>
    <t>Interest Expense</t>
  </si>
  <si>
    <t>Earnings Before Tax (EBT)</t>
  </si>
  <si>
    <t>Tax Rate</t>
  </si>
  <si>
    <t>Tax Expense</t>
  </si>
  <si>
    <t>Net Income</t>
  </si>
  <si>
    <t>BALANCE SHEET — ASSETS</t>
  </si>
  <si>
    <t>Cash &amp; Equivalents</t>
  </si>
  <si>
    <t>Accounts Receivable</t>
  </si>
  <si>
    <t>Inventory</t>
  </si>
  <si>
    <t>Other Current Assets</t>
  </si>
  <si>
    <t>Total Current Assets</t>
  </si>
  <si>
    <t>Property, Plant &amp; Equipment (net)</t>
  </si>
  <si>
    <t>Other Long-Term Assets</t>
  </si>
  <si>
    <t>Total Assets</t>
  </si>
  <si>
    <t>BALANCE SHEET — LIABILITIES &amp; EQUITY</t>
  </si>
  <si>
    <t>Accounts Payable</t>
  </si>
  <si>
    <t>Short-Term Debt</t>
  </si>
  <si>
    <t>Other Current Liabilities</t>
  </si>
  <si>
    <t>Total Current Liabilities</t>
  </si>
  <si>
    <t>Long-Term Debt</t>
  </si>
  <si>
    <t>Other Long-Term Liabilities</t>
  </si>
  <si>
    <t>Total Liabilities</t>
  </si>
  <si>
    <t>Total Shareholders' Equity</t>
  </si>
  <si>
    <t>Ratio Benchmark Table</t>
  </si>
  <si>
    <t>Reference thresholds used by the Ratio Calculations sheet (VLOOKUP) to rate each ratio. Direction indicates whether a higher or lower value is favorable.</t>
  </si>
  <si>
    <t>Ratio Name</t>
  </si>
  <si>
    <t>Strong Threshold</t>
  </si>
  <si>
    <t>Moderate Threshold</t>
  </si>
  <si>
    <t>Notes</t>
  </si>
  <si>
    <t>Higher</t>
  </si>
  <si>
    <t>Current assets vs current liabilities</t>
  </si>
  <si>
    <t>Excludes inventory from current assets</t>
  </si>
  <si>
    <t>Most conservative liquidity measure</t>
  </si>
  <si>
    <t>Gross profit as % of revenue</t>
  </si>
  <si>
    <t>EBIT as % of revenue</t>
  </si>
  <si>
    <t>Net income as % of revenue</t>
  </si>
  <si>
    <t>Net income vs total assets</t>
  </si>
  <si>
    <t>Net income vs shareholders' equity</t>
  </si>
  <si>
    <t>Lower</t>
  </si>
  <si>
    <t>Total liabilities vs total equity</t>
  </si>
  <si>
    <t>Total liabilities vs total assets</t>
  </si>
  <si>
    <t>EBIT vs interest expense</t>
  </si>
  <si>
    <t>Revenue generated per dollar of assets</t>
  </si>
  <si>
    <t>How efficiently inventory is sold</t>
  </si>
  <si>
    <t>How efficiently receivables are collected</t>
  </si>
</sst>
</file>

<file path=xl/styles.xml><?xml version="1.0" encoding="utf-8"?>
<styleSheet xmlns="http://schemas.openxmlformats.org/spreadsheetml/2006/main">
  <numFmts count="3">
    <numFmt numFmtId="164" formatCode="0.00\x"/>
    <numFmt numFmtId="165" formatCode="0.0%"/>
    <numFmt numFmtId="166" formatCode="#,##0;\(#,##0\);\-"/>
  </numFmts>
  <fonts count="16">
    <font>
      <sz val="11"/>
      <color theme="1"/>
      <name val="Calibri"/>
      <family val="2"/>
      <charset val="1"/>
    </font>
    <font>
      <b/>
      <sz val="18"/>
      <color rgb="FF1F3864"/>
      <name val="Arial"/>
      <charset val="1"/>
    </font>
    <font>
      <i/>
      <sz val="11"/>
      <color rgb="FF595959"/>
      <name val="Arial"/>
      <charset val="1"/>
    </font>
    <font>
      <b/>
      <sz val="8"/>
      <color rgb="FF595959"/>
      <name val="Arial"/>
      <charset val="1"/>
    </font>
    <font>
      <b/>
      <sz val="9"/>
      <color rgb="FF1F3864"/>
      <name val="Arial"/>
      <charset val="1"/>
    </font>
    <font>
      <b/>
      <sz val="20"/>
      <color rgb="FF1F3864"/>
      <name val="Arial"/>
      <charset val="1"/>
    </font>
    <font>
      <sz val="9"/>
      <color rgb="FF595959"/>
      <name val="Arial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00"/>
      <name val="Arial"/>
      <charset val="1"/>
    </font>
    <font>
      <sz val="10"/>
      <color rgb="FF008000"/>
      <name val="Arial"/>
      <charset val="1"/>
    </font>
    <font>
      <b/>
      <sz val="10"/>
      <color rgb="FF1F3864"/>
      <name val="Arial"/>
      <charset val="1"/>
    </font>
    <font>
      <sz val="10"/>
      <color rgb="FF0000FF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EAF1FB"/>
        <bgColor rgb="FFEAF7EE"/>
      </patternFill>
    </fill>
    <fill>
      <patternFill patternType="solid">
        <fgColor rgb="FFEAF7EE"/>
        <bgColor rgb="FFEAF1FB"/>
      </patternFill>
    </fill>
    <fill>
      <patternFill patternType="solid">
        <fgColor rgb="FFFDF1E8"/>
        <bgColor rgb="FFF3EAF8"/>
      </patternFill>
    </fill>
    <fill>
      <patternFill patternType="solid">
        <fgColor rgb="FFF3EAF8"/>
        <bgColor rgb="FFEAF1FB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6">
    <xf numFmtId="0" fontId="0" fillId="0" borderId="0" xfId="0"/>
    <xf numFmtId="164" fontId="5" fillId="5" borderId="0" xfId="0" applyNumberFormat="1" applyFont="1" applyFill="1" applyBorder="1" applyAlignment="1" applyProtection="1">
      <alignment horizontal="left"/>
    </xf>
    <xf numFmtId="164" fontId="5" fillId="4" borderId="0" xfId="0" applyNumberFormat="1" applyFont="1" applyFill="1" applyBorder="1" applyAlignment="1" applyProtection="1">
      <alignment horizontal="left"/>
    </xf>
    <xf numFmtId="165" fontId="5" fillId="3" borderId="0" xfId="0" applyNumberFormat="1" applyFont="1" applyFill="1" applyBorder="1" applyAlignment="1" applyProtection="1">
      <alignment horizontal="left"/>
    </xf>
    <xf numFmtId="164" fontId="5" fillId="2" borderId="0" xfId="0" applyNumberFormat="1" applyFont="1" applyFill="1" applyBorder="1" applyAlignment="1" applyProtection="1">
      <alignment horizontal="left"/>
    </xf>
    <xf numFmtId="0" fontId="4" fillId="5" borderId="0" xfId="0" applyFont="1" applyFill="1" applyBorder="1" applyAlignment="1" applyProtection="1"/>
    <xf numFmtId="0" fontId="4" fillId="4" borderId="0" xfId="0" applyFont="1" applyFill="1" applyBorder="1" applyAlignment="1" applyProtection="1"/>
    <xf numFmtId="0" fontId="4" fillId="3" borderId="0" xfId="0" applyFont="1" applyFill="1" applyBorder="1" applyAlignment="1" applyProtection="1"/>
    <xf numFmtId="0" fontId="4" fillId="2" borderId="0" xfId="0" applyFont="1" applyFill="1" applyBorder="1" applyAlignment="1" applyProtection="1"/>
    <xf numFmtId="0" fontId="3" fillId="5" borderId="0" xfId="0" applyFont="1" applyFill="1" applyBorder="1" applyAlignment="1" applyProtection="1">
      <alignment horizontal="left"/>
    </xf>
    <xf numFmtId="0" fontId="3" fillId="4" borderId="0" xfId="0" applyFont="1" applyFill="1" applyBorder="1" applyAlignment="1" applyProtection="1">
      <alignment horizontal="left"/>
    </xf>
    <xf numFmtId="0" fontId="3" fillId="3" borderId="0" xfId="0" applyFont="1" applyFill="1" applyBorder="1" applyAlignment="1" applyProtection="1">
      <alignment horizontal="left"/>
    </xf>
    <xf numFmtId="0" fontId="3" fillId="2" borderId="0" xfId="0" applyFont="1" applyFill="1" applyBorder="1" applyAlignment="1" applyProtection="1">
      <alignment horizontal="left"/>
    </xf>
    <xf numFmtId="0" fontId="2" fillId="0" borderId="0" xfId="0" applyFont="1" applyBorder="1" applyAlignment="1" applyProtection="1"/>
    <xf numFmtId="0" fontId="1" fillId="0" borderId="0" xfId="0" applyFont="1" applyBorder="1" applyAlignment="1" applyProtection="1"/>
    <xf numFmtId="0" fontId="0" fillId="0" borderId="0" xfId="0" applyAlignment="1" applyProtection="1"/>
    <xf numFmtId="0" fontId="9" fillId="6" borderId="1" xfId="0" applyFont="1" applyFill="1" applyBorder="1" applyAlignment="1" applyProtection="1">
      <alignment horizontal="center" vertical="center"/>
    </xf>
    <xf numFmtId="0" fontId="10" fillId="2" borderId="1" xfId="0" applyFont="1" applyFill="1" applyBorder="1" applyAlignment="1" applyProtection="1"/>
    <xf numFmtId="0" fontId="11" fillId="0" borderId="1" xfId="0" applyFont="1" applyBorder="1" applyAlignment="1" applyProtection="1"/>
    <xf numFmtId="164" fontId="12" fillId="0" borderId="1" xfId="0" applyNumberFormat="1" applyFont="1" applyBorder="1" applyAlignment="1" applyProtection="1"/>
    <xf numFmtId="0" fontId="13" fillId="0" borderId="1" xfId="0" applyFont="1" applyBorder="1" applyAlignment="1" applyProtection="1"/>
    <xf numFmtId="164" fontId="13" fillId="0" borderId="1" xfId="0" applyNumberFormat="1" applyFont="1" applyBorder="1" applyAlignment="1" applyProtection="1"/>
    <xf numFmtId="0" fontId="11" fillId="0" borderId="1" xfId="0" applyFont="1" applyBorder="1" applyAlignment="1" applyProtection="1">
      <alignment horizontal="center"/>
    </xf>
    <xf numFmtId="0" fontId="10" fillId="3" borderId="1" xfId="0" applyFont="1" applyFill="1" applyBorder="1" applyAlignment="1" applyProtection="1"/>
    <xf numFmtId="165" fontId="12" fillId="0" borderId="1" xfId="0" applyNumberFormat="1" applyFont="1" applyBorder="1" applyAlignment="1" applyProtection="1"/>
    <xf numFmtId="165" fontId="13" fillId="0" borderId="1" xfId="0" applyNumberFormat="1" applyFont="1" applyBorder="1" applyAlignment="1" applyProtection="1"/>
    <xf numFmtId="0" fontId="10" fillId="4" borderId="1" xfId="0" applyFont="1" applyFill="1" applyBorder="1" applyAlignment="1" applyProtection="1"/>
    <xf numFmtId="0" fontId="10" fillId="5" borderId="1" xfId="0" applyFont="1" applyFill="1" applyBorder="1" applyAlignment="1" applyProtection="1"/>
    <xf numFmtId="0" fontId="14" fillId="7" borderId="0" xfId="0" applyFont="1" applyFill="1" applyAlignment="1" applyProtection="1"/>
    <xf numFmtId="0" fontId="0" fillId="7" borderId="0" xfId="0" applyFill="1" applyAlignment="1" applyProtection="1"/>
    <xf numFmtId="0" fontId="11" fillId="0" borderId="0" xfId="0" applyFont="1" applyAlignment="1" applyProtection="1"/>
    <xf numFmtId="166" fontId="15" fillId="0" borderId="1" xfId="0" applyNumberFormat="1" applyFont="1" applyBorder="1" applyAlignment="1" applyProtection="1"/>
    <xf numFmtId="0" fontId="10" fillId="0" borderId="0" xfId="0" applyFont="1" applyAlignment="1" applyProtection="1"/>
    <xf numFmtId="166" fontId="12" fillId="0" borderId="1" xfId="0" applyNumberFormat="1" applyFont="1" applyBorder="1" applyAlignment="1" applyProtection="1"/>
    <xf numFmtId="165" fontId="15" fillId="0" borderId="1" xfId="0" applyNumberFormat="1" applyFont="1" applyBorder="1" applyAlignment="1" applyProtection="1"/>
    <xf numFmtId="0" fontId="7" fillId="0" borderId="0" xfId="0" applyFont="1" applyAlignment="1" applyProtection="1"/>
    <xf numFmtId="0" fontId="10" fillId="0" borderId="1" xfId="0" applyFont="1" applyBorder="1" applyAlignment="1" applyProtection="1"/>
    <xf numFmtId="0" fontId="15" fillId="0" borderId="1" xfId="0" applyFont="1" applyBorder="1" applyAlignment="1" applyProtection="1"/>
    <xf numFmtId="164" fontId="15" fillId="0" borderId="1" xfId="0" applyNumberFormat="1" applyFont="1" applyBorder="1" applyAlignment="1" applyProtection="1"/>
    <xf numFmtId="0" fontId="8" fillId="0" borderId="1" xfId="0" applyFont="1" applyBorder="1" applyAlignment="1" applyProtection="1"/>
    <xf numFmtId="0" fontId="6" fillId="2" borderId="0" xfId="0" applyFont="1" applyFill="1" applyBorder="1" applyAlignment="1" applyProtection="1"/>
    <xf numFmtId="0" fontId="6" fillId="3" borderId="0" xfId="0" applyFont="1" applyFill="1" applyBorder="1" applyAlignment="1" applyProtection="1"/>
    <xf numFmtId="0" fontId="6" fillId="4" borderId="0" xfId="0" applyFont="1" applyFill="1" applyBorder="1" applyAlignment="1" applyProtection="1"/>
    <xf numFmtId="0" fontId="6" fillId="5" borderId="0" xfId="0" applyFont="1" applyFill="1" applyBorder="1" applyAlignment="1" applyProtection="1"/>
    <xf numFmtId="0" fontId="7" fillId="0" borderId="0" xfId="0" applyFont="1" applyBorder="1" applyAlignment="1" applyProtection="1"/>
    <xf numFmtId="0" fontId="8" fillId="0" borderId="0" xfId="0" applyFont="1" applyBorder="1" applyAlignment="1" applyProtection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DF1E8"/>
      <rgbColor rgb="FFEAF7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B"/>
      <rgbColor rgb="FFC6EFCE"/>
      <rgbColor rgb="FFFFEB9C"/>
      <rgbColor rgb="FFD9E2F3"/>
      <rgbColor rgb="FFF3EAF8"/>
      <rgbColor rgb="FFCC99FF"/>
      <rgbColor rgb="FFFFC7CE"/>
      <rgbColor rgb="FF3366FF"/>
      <rgbColor rgb="FF33CCCC"/>
      <rgbColor rgb="FF99CC00"/>
      <rgbColor rgb="FFFFCC00"/>
      <rgbColor rgb="FFFF9900"/>
      <rgbColor rgb="FFB26A00"/>
      <rgbColor rgb="FF595959"/>
      <rgbColor rgb="FFB3B3B3"/>
      <rgbColor rgb="FF1F3864"/>
      <rgbColor rgb="FF2E7D32"/>
      <rgbColor rgb="FF0061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Liquidity Ratios — 5-Year Trend</a:t>
            </a:r>
          </a:p>
        </c:rich>
      </c:tx>
      <c:layout/>
      <c:spPr>
        <a:noFill/>
        <a:ln w="0">
          <a:noFill/>
        </a:ln>
      </c:spPr>
    </c:title>
    <c:plotArea>
      <c:layout/>
      <c:lineChart>
        <c:grouping val="standard"/>
        <c:ser>
          <c:idx val="0"/>
          <c:order val="0"/>
          <c:tx>
            <c:strRef>
              <c:f>'Ratio Calculations'!$B$5</c:f>
              <c:strCache>
                <c:ptCount val="1"/>
                <c:pt idx="0">
                  <c:v>Current Ratio</c:v>
                </c:pt>
              </c:strCache>
            </c:strRef>
          </c:tx>
          <c:spPr>
            <a:ln w="21960">
              <a:solidFill>
                <a:srgbClr val="1F3864"/>
              </a:solidFill>
              <a:round/>
            </a:ln>
          </c:spPr>
          <c:marker>
            <c:symbol val="circle"/>
            <c:size val="6"/>
            <c:spPr>
              <a:solidFill>
                <a:srgbClr val="1F3864"/>
              </a:solidFill>
            </c:spPr>
          </c:marker>
          <c:cat>
            <c:strRef>
              <c:f>'Ratio Calculations'!$C$4:$G$4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'Ratio Calculations'!$C$5:$G$5</c:f>
              <c:numCache>
                <c:formatCode>0.00\x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</c:ser>
        <c:ser>
          <c:idx val="1"/>
          <c:order val="1"/>
          <c:tx>
            <c:strRef>
              <c:f>'Ratio Calculations'!$B$6</c:f>
              <c:strCache>
                <c:ptCount val="1"/>
                <c:pt idx="0">
                  <c:v>Quick Ratio</c:v>
                </c:pt>
              </c:strCache>
            </c:strRef>
          </c:tx>
          <c:spPr>
            <a:ln w="21960">
              <a:solidFill>
                <a:srgbClr val="2E7D32"/>
              </a:solidFill>
              <a:round/>
            </a:ln>
          </c:spPr>
          <c:marker>
            <c:symbol val="circle"/>
            <c:size val="6"/>
            <c:spPr>
              <a:solidFill>
                <a:srgbClr val="2E7D32"/>
              </a:solidFill>
            </c:spPr>
          </c:marker>
          <c:cat>
            <c:strRef>
              <c:f>'Ratio Calculations'!$C$4:$G$4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'Ratio Calculations'!$C$6:$G$6</c:f>
              <c:numCache>
                <c:formatCode>0.00\x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</c:ser>
        <c:ser>
          <c:idx val="2"/>
          <c:order val="2"/>
          <c:tx>
            <c:strRef>
              <c:f>'Ratio Calculations'!$B$7</c:f>
              <c:strCache>
                <c:ptCount val="1"/>
                <c:pt idx="0">
                  <c:v>Cash Ratio</c:v>
                </c:pt>
              </c:strCache>
            </c:strRef>
          </c:tx>
          <c:spPr>
            <a:ln w="21960">
              <a:solidFill>
                <a:srgbClr val="B26A00"/>
              </a:solidFill>
              <a:round/>
            </a:ln>
          </c:spPr>
          <c:marker>
            <c:symbol val="circle"/>
            <c:size val="6"/>
            <c:spPr>
              <a:solidFill>
                <a:srgbClr val="B26A00"/>
              </a:solidFill>
            </c:spPr>
          </c:marker>
          <c:cat>
            <c:strRef>
              <c:f>'Ratio Calculations'!$C$4:$G$4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'Ratio Calculations'!$C$7:$G$7</c:f>
              <c:numCache>
                <c:formatCode>0.00\x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</c:ser>
        <c:hiLowLines>
          <c:spPr>
            <a:ln w="0">
              <a:noFill/>
            </a:ln>
          </c:spPr>
        </c:hiLowLines>
        <c:marker val="1"/>
        <c:axId val="86779776"/>
        <c:axId val="86781312"/>
      </c:lineChart>
      <c:catAx>
        <c:axId val="86779776"/>
        <c:scaling>
          <c:orientation val="minMax"/>
        </c:scaling>
        <c:axPos val="b"/>
        <c:numFmt formatCode="General" sourceLinked="0"/>
        <c:maj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781312"/>
        <c:crosses val="autoZero"/>
        <c:auto val="1"/>
        <c:lblAlgn val="ctr"/>
        <c:lblOffset val="100"/>
      </c:catAx>
      <c:valAx>
        <c:axId val="86781312"/>
        <c:scaling>
          <c:orientation val="minMax"/>
        </c:scaling>
        <c:axPos val="l"/>
        <c:numFmt formatCode="0.00" sourceLinked="0"/>
        <c:maj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779776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Profitability Margins — 5-Year Trend</a:t>
            </a:r>
          </a:p>
        </c:rich>
      </c:tx>
      <c:layout/>
      <c:spPr>
        <a:noFill/>
        <a:ln w="0">
          <a:noFill/>
        </a:ln>
      </c:spPr>
    </c:title>
    <c:plotArea>
      <c:layout/>
      <c:lineChart>
        <c:grouping val="standard"/>
        <c:ser>
          <c:idx val="0"/>
          <c:order val="0"/>
          <c:tx>
            <c:strRef>
              <c:f>'Ratio Calculations'!$B$8</c:f>
              <c:strCache>
                <c:ptCount val="1"/>
                <c:pt idx="0">
                  <c:v>Gross Margin</c:v>
                </c:pt>
              </c:strCache>
            </c:strRef>
          </c:tx>
          <c:spPr>
            <a:ln w="21960">
              <a:solidFill>
                <a:srgbClr val="1F3864"/>
              </a:solidFill>
              <a:round/>
            </a:ln>
          </c:spPr>
          <c:marker>
            <c:symbol val="circle"/>
            <c:size val="6"/>
            <c:spPr>
              <a:solidFill>
                <a:srgbClr val="1F3864"/>
              </a:solidFill>
            </c:spPr>
          </c:marker>
          <c:cat>
            <c:strRef>
              <c:f>'Ratio Calculations'!$C$4:$G$4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'Ratio Calculations'!$C$8:$G$8</c:f>
              <c:numCache>
                <c:formatCode>0.0%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</c:ser>
        <c:ser>
          <c:idx val="1"/>
          <c:order val="1"/>
          <c:tx>
            <c:strRef>
              <c:f>'Ratio Calculations'!$B$9</c:f>
              <c:strCache>
                <c:ptCount val="1"/>
                <c:pt idx="0">
                  <c:v>Operating Margin</c:v>
                </c:pt>
              </c:strCache>
            </c:strRef>
          </c:tx>
          <c:spPr>
            <a:ln w="21960">
              <a:solidFill>
                <a:srgbClr val="2E7D32"/>
              </a:solidFill>
              <a:round/>
            </a:ln>
          </c:spPr>
          <c:marker>
            <c:symbol val="circle"/>
            <c:size val="6"/>
            <c:spPr>
              <a:solidFill>
                <a:srgbClr val="2E7D32"/>
              </a:solidFill>
            </c:spPr>
          </c:marker>
          <c:cat>
            <c:strRef>
              <c:f>'Ratio Calculations'!$C$4:$G$4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'Ratio Calculations'!$C$9:$G$9</c:f>
              <c:numCache>
                <c:formatCode>0.0%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</c:ser>
        <c:ser>
          <c:idx val="2"/>
          <c:order val="2"/>
          <c:tx>
            <c:strRef>
              <c:f>'Ratio Calculations'!$B$10</c:f>
              <c:strCache>
                <c:ptCount val="1"/>
                <c:pt idx="0">
                  <c:v>Net Profit Margin</c:v>
                </c:pt>
              </c:strCache>
            </c:strRef>
          </c:tx>
          <c:spPr>
            <a:ln w="21960">
              <a:solidFill>
                <a:srgbClr val="B26A00"/>
              </a:solidFill>
              <a:round/>
            </a:ln>
          </c:spPr>
          <c:marker>
            <c:symbol val="circle"/>
            <c:size val="6"/>
            <c:spPr>
              <a:solidFill>
                <a:srgbClr val="B26A00"/>
              </a:solidFill>
            </c:spPr>
          </c:marker>
          <c:cat>
            <c:strRef>
              <c:f>'Ratio Calculations'!$C$4:$G$4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'Ratio Calculations'!$C$10:$G$10</c:f>
              <c:numCache>
                <c:formatCode>0.0%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</c:ser>
        <c:hiLowLines>
          <c:spPr>
            <a:ln w="0">
              <a:noFill/>
            </a:ln>
          </c:spPr>
        </c:hiLowLines>
        <c:marker val="1"/>
        <c:axId val="86850176"/>
        <c:axId val="86856064"/>
      </c:lineChart>
      <c:catAx>
        <c:axId val="86850176"/>
        <c:scaling>
          <c:orientation val="minMax"/>
        </c:scaling>
        <c:axPos val="b"/>
        <c:numFmt formatCode="General" sourceLinked="0"/>
        <c:maj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856064"/>
        <c:crosses val="autoZero"/>
        <c:auto val="1"/>
        <c:lblAlgn val="ctr"/>
        <c:lblOffset val="100"/>
      </c:catAx>
      <c:valAx>
        <c:axId val="86856064"/>
        <c:scaling>
          <c:orientation val="minMax"/>
        </c:scaling>
        <c:axPos val="l"/>
        <c:numFmt formatCode="0%" sourceLinked="0"/>
        <c:maj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850176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Leverage — Debt-to-Equity &amp; Debt-to-Assets</a:t>
            </a:r>
          </a:p>
        </c:rich>
      </c:tx>
      <c:layout/>
      <c:spPr>
        <a:noFill/>
        <a:ln w="0">
          <a:noFill/>
        </a:ln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'Ratio Calculations'!$B$13</c:f>
              <c:strCache>
                <c:ptCount val="1"/>
                <c:pt idx="0">
                  <c:v>Debt-to-Equity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000000"/>
              </a:solidFill>
            </a:ln>
          </c:spPr>
          <c:cat>
            <c:strRef>
              <c:f>'Ratio Calculations'!$C$4:$G$4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'Ratio Calculations'!$C$13:$G$13</c:f>
              <c:numCache>
                <c:formatCode>0.00\x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</c:ser>
        <c:ser>
          <c:idx val="1"/>
          <c:order val="1"/>
          <c:tx>
            <c:strRef>
              <c:f>'Ratio Calculations'!$B$14</c:f>
              <c:strCache>
                <c:ptCount val="1"/>
                <c:pt idx="0">
                  <c:v>Debt-to-Assets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000000"/>
              </a:solidFill>
            </a:ln>
          </c:spPr>
          <c:cat>
            <c:strRef>
              <c:f>'Ratio Calculations'!$C$4:$G$4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'Ratio Calculations'!$C$14:$G$14</c:f>
              <c:numCache>
                <c:formatCode>0.00\x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</c:ser>
        <c:axId val="86910848"/>
        <c:axId val="86912384"/>
      </c:barChart>
      <c:catAx>
        <c:axId val="86910848"/>
        <c:scaling>
          <c:orientation val="minMax"/>
        </c:scaling>
        <c:axPos val="b"/>
        <c:numFmt formatCode="General" sourceLinked="0"/>
        <c:maj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912384"/>
        <c:crosses val="autoZero"/>
        <c:auto val="1"/>
        <c:lblAlgn val="ctr"/>
        <c:lblOffset val="100"/>
      </c:catAx>
      <c:valAx>
        <c:axId val="86912384"/>
        <c:scaling>
          <c:orientation val="minMax"/>
        </c:scaling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" sourceLinked="0"/>
        <c:maj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910848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Efficiency — Asset &amp; Inventory Turnover</a:t>
            </a:r>
          </a:p>
        </c:rich>
      </c:tx>
      <c:layout/>
      <c:spPr>
        <a:noFill/>
        <a:ln w="0">
          <a:noFill/>
        </a:ln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'Ratio Calculations'!$B$16</c:f>
              <c:strCache>
                <c:ptCount val="1"/>
                <c:pt idx="0">
                  <c:v>Asset Turnover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000000"/>
              </a:solidFill>
            </a:ln>
          </c:spPr>
          <c:cat>
            <c:strRef>
              <c:f>'Ratio Calculations'!$C$4:$G$4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'Ratio Calculations'!$C$16:$G$16</c:f>
              <c:numCache>
                <c:formatCode>0.00\x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</c:ser>
        <c:ser>
          <c:idx val="1"/>
          <c:order val="1"/>
          <c:tx>
            <c:strRef>
              <c:f>'Ratio Calculations'!$B$17</c:f>
              <c:strCache>
                <c:ptCount val="1"/>
                <c:pt idx="0">
                  <c:v>Inventory Turnover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000000"/>
              </a:solidFill>
            </a:ln>
          </c:spPr>
          <c:cat>
            <c:strRef>
              <c:f>'Ratio Calculations'!$C$4:$G$4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'Ratio Calculations'!$C$17:$G$17</c:f>
              <c:numCache>
                <c:formatCode>0.00\x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'Ratio Calculations'!$B$18</c:f>
              <c:strCache>
                <c:ptCount val="1"/>
                <c:pt idx="0">
                  <c:v>Receivables Turnover</c:v>
                </c:pt>
              </c:strCache>
            </c:strRef>
          </c:tx>
          <c:spPr>
            <a:solidFill>
              <a:srgbClr val="B26A00"/>
            </a:solidFill>
            <a:ln w="0">
              <a:solidFill>
                <a:srgbClr val="000000"/>
              </a:solidFill>
            </a:ln>
          </c:spPr>
          <c:cat>
            <c:strRef>
              <c:f>'Ratio Calculations'!$C$4:$G$4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'Ratio Calculations'!$C$18:$G$18</c:f>
              <c:numCache>
                <c:formatCode>0.00\x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86956288"/>
        <c:axId val="86978560"/>
      </c:barChart>
      <c:catAx>
        <c:axId val="86956288"/>
        <c:scaling>
          <c:orientation val="minMax"/>
        </c:scaling>
        <c:axPos val="b"/>
        <c:numFmt formatCode="General" sourceLinked="0"/>
        <c:maj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978560"/>
        <c:crosses val="autoZero"/>
        <c:auto val="1"/>
        <c:lblAlgn val="ctr"/>
        <c:lblOffset val="100"/>
      </c:catAx>
      <c:valAx>
        <c:axId val="86978560"/>
        <c:scaling>
          <c:orientation val="minMax"/>
        </c:scaling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" sourceLinked="0"/>
        <c:maj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956288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100800</xdr:rowOff>
    </xdr:from>
    <xdr:to>
      <xdr:col>6</xdr:col>
      <xdr:colOff>323640</xdr:colOff>
      <xdr:row>23</xdr:row>
      <xdr:rowOff>122040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8</xdr:row>
      <xdr:rowOff>100800</xdr:rowOff>
    </xdr:from>
    <xdr:to>
      <xdr:col>12</xdr:col>
      <xdr:colOff>323640</xdr:colOff>
      <xdr:row>23</xdr:row>
      <xdr:rowOff>122040</xdr:rowOff>
    </xdr:to>
    <xdr:graphicFrame macro="">
      <xdr:nvGraphicFramePr>
        <xdr:cNvPr id="0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25</xdr:row>
      <xdr:rowOff>100800</xdr:rowOff>
    </xdr:from>
    <xdr:to>
      <xdr:col>6</xdr:col>
      <xdr:colOff>323640</xdr:colOff>
      <xdr:row>40</xdr:row>
      <xdr:rowOff>122040</xdr:rowOff>
    </xdr:to>
    <xdr:graphicFrame macro=""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25</xdr:row>
      <xdr:rowOff>100800</xdr:rowOff>
    </xdr:from>
    <xdr:to>
      <xdr:col>12</xdr:col>
      <xdr:colOff>323640</xdr:colOff>
      <xdr:row>40</xdr:row>
      <xdr:rowOff>122040</xdr:rowOff>
    </xdr:to>
    <xdr:graphicFrame macro=""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7"/>
  <sheetViews>
    <sheetView showGridLines="0" tabSelected="1" workbookViewId="0">
      <selection sqref="A1:L1"/>
    </sheetView>
  </sheetViews>
  <sheetFormatPr defaultColWidth="8.6328125" defaultRowHeight="14.5"/>
  <cols>
    <col min="1" max="12" width="12" style="15" customWidth="1"/>
  </cols>
  <sheetData>
    <row r="1" spans="1:12" ht="21.7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5" customHeight="1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4" spans="1:12" ht="18" customHeight="1">
      <c r="A4" s="12" t="s">
        <v>2</v>
      </c>
      <c r="B4" s="12"/>
      <c r="C4" s="11" t="s">
        <v>3</v>
      </c>
      <c r="D4" s="11"/>
      <c r="E4" s="11" t="s">
        <v>3</v>
      </c>
      <c r="F4" s="11"/>
      <c r="G4" s="10" t="s">
        <v>4</v>
      </c>
      <c r="H4" s="10"/>
      <c r="I4" s="10" t="s">
        <v>4</v>
      </c>
      <c r="J4" s="10"/>
      <c r="K4" s="9" t="s">
        <v>5</v>
      </c>
      <c r="L4" s="9"/>
    </row>
    <row r="5" spans="1:12" ht="18" customHeight="1">
      <c r="A5" s="8" t="s">
        <v>6</v>
      </c>
      <c r="B5" s="8"/>
      <c r="C5" s="7" t="s">
        <v>7</v>
      </c>
      <c r="D5" s="7"/>
      <c r="E5" s="7" t="s">
        <v>8</v>
      </c>
      <c r="F5" s="7"/>
      <c r="G5" s="6" t="s">
        <v>9</v>
      </c>
      <c r="H5" s="6"/>
      <c r="I5" s="6" t="s">
        <v>10</v>
      </c>
      <c r="J5" s="6"/>
      <c r="K5" s="5" t="s">
        <v>11</v>
      </c>
      <c r="L5" s="5"/>
    </row>
    <row r="6" spans="1:12" ht="25.5" customHeight="1">
      <c r="A6" s="4" t="e">
        <f>INDEX('Ratio Calculations'!$G$5:$G$5,1)</f>
        <v>#N/A</v>
      </c>
      <c r="B6" s="4"/>
      <c r="C6" s="3" t="e">
        <f>INDEX('Ratio Calculations'!$G$10:$G$10,1)</f>
        <v>#N/A</v>
      </c>
      <c r="D6" s="3"/>
      <c r="E6" s="3" t="e">
        <f>INDEX('Ratio Calculations'!$G$12:$G$12,1)</f>
        <v>#N/A</v>
      </c>
      <c r="F6" s="3"/>
      <c r="G6" s="2" t="e">
        <f>INDEX('Ratio Calculations'!$G$13:$G$13,1)</f>
        <v>#N/A</v>
      </c>
      <c r="H6" s="2"/>
      <c r="I6" s="2">
        <f>INDEX('Ratio Calculations'!$G$15:$G$15,1)</f>
        <v>0</v>
      </c>
      <c r="J6" s="2"/>
      <c r="K6" s="1" t="e">
        <f>INDEX('Ratio Calculations'!$G$16:$G$16,1)</f>
        <v>#N/A</v>
      </c>
      <c r="L6" s="1"/>
    </row>
    <row r="7" spans="1:12" ht="18" customHeight="1">
      <c r="A7" s="40" t="e">
        <f>INDEX('Ratio Calculations'!$J$5:$J$5,1)&amp;"  ·  FY2024"</f>
        <v>#N/A</v>
      </c>
      <c r="B7" s="40"/>
      <c r="C7" s="41" t="e">
        <f>INDEX('Ratio Calculations'!$J$10:$J$10,1)&amp;"  ·  FY2024"</f>
        <v>#N/A</v>
      </c>
      <c r="D7" s="41"/>
      <c r="E7" s="41" t="e">
        <f>INDEX('Ratio Calculations'!$J$12:$J$12,1)&amp;"  ·  FY2024"</f>
        <v>#N/A</v>
      </c>
      <c r="F7" s="41"/>
      <c r="G7" s="42" t="e">
        <f>INDEX('Ratio Calculations'!$J$13:$J$13,1)&amp;"  ·  FY2024"</f>
        <v>#N/A</v>
      </c>
      <c r="H7" s="42"/>
      <c r="I7" s="42" t="str">
        <f>INDEX('Ratio Calculations'!$J$15:$J$15,1)&amp;"  ·  FY2024"</f>
        <v>Weak  ·  FY2024</v>
      </c>
      <c r="J7" s="42"/>
      <c r="K7" s="43" t="e">
        <f>INDEX('Ratio Calculations'!$J$16:$J$16,1)&amp;"  ·  FY2024"</f>
        <v>#N/A</v>
      </c>
      <c r="L7" s="43"/>
    </row>
  </sheetData>
  <mergeCells count="26">
    <mergeCell ref="K7:L7"/>
    <mergeCell ref="A7:B7"/>
    <mergeCell ref="C7:D7"/>
    <mergeCell ref="E7:F7"/>
    <mergeCell ref="G7:H7"/>
    <mergeCell ref="I7:J7"/>
    <mergeCell ref="K5:L5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A1:L1"/>
    <mergeCell ref="A2:L2"/>
    <mergeCell ref="A4:B4"/>
    <mergeCell ref="C4:D4"/>
    <mergeCell ref="E4:F4"/>
    <mergeCell ref="G4:H4"/>
    <mergeCell ref="I4:J4"/>
    <mergeCell ref="K4:L4"/>
  </mergeCells>
  <pageMargins left="0.3" right="0.3" top="0.4" bottom="0.4" header="0.511811023622047" footer="0.511811023622047"/>
  <pageSetup paperSize="9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8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328125" defaultRowHeight="14.5"/>
  <cols>
    <col min="1" max="1" width="14" style="15" customWidth="1"/>
    <col min="2" max="2" width="24" style="15" customWidth="1"/>
    <col min="3" max="8" width="10" style="15" customWidth="1"/>
    <col min="9" max="10" width="12" style="15" customWidth="1"/>
  </cols>
  <sheetData>
    <row r="1" spans="1:11" ht="17.25" customHeight="1">
      <c r="A1" s="44" t="s">
        <v>12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1" ht="15" customHeight="1">
      <c r="A2" s="45" t="s">
        <v>13</v>
      </c>
      <c r="B2" s="45"/>
      <c r="C2" s="45"/>
      <c r="D2" s="45"/>
      <c r="E2" s="45"/>
      <c r="F2" s="45"/>
      <c r="G2" s="45"/>
      <c r="H2" s="45"/>
      <c r="I2" s="45"/>
      <c r="J2" s="45"/>
      <c r="K2" s="45"/>
    </row>
    <row r="4" spans="1:11" ht="15" customHeight="1">
      <c r="A4" s="16" t="s">
        <v>14</v>
      </c>
      <c r="B4" s="16" t="s">
        <v>15</v>
      </c>
      <c r="C4" s="16" t="s">
        <v>16</v>
      </c>
      <c r="D4" s="16" t="s">
        <v>17</v>
      </c>
      <c r="E4" s="16" t="s">
        <v>18</v>
      </c>
      <c r="F4" s="16" t="s">
        <v>19</v>
      </c>
      <c r="G4" s="16" t="s">
        <v>20</v>
      </c>
      <c r="H4" s="16" t="s">
        <v>21</v>
      </c>
      <c r="I4" s="16" t="s">
        <v>22</v>
      </c>
      <c r="J4" s="16" t="s">
        <v>23</v>
      </c>
    </row>
    <row r="5" spans="1:11" ht="15" customHeight="1">
      <c r="A5" s="17" t="s">
        <v>24</v>
      </c>
      <c r="B5" s="18" t="s">
        <v>6</v>
      </c>
      <c r="C5" s="19" t="e">
        <f>(INDEX('Raw Data'!$B$5:$F$40,MATCH("Total Current Assets",'Raw Data'!$A$5:$A$40,0),MATCH(C$4,'Raw Data'!$B$4:$F$4,0)))/(INDEX('Raw Data'!$B$5:$F$40,MATCH("Total Current Liabilities",'Raw Data'!$A$5:$A$40,0),MATCH(C$4,'Raw Data'!$B$4:$F$4,0)))</f>
        <v>#N/A</v>
      </c>
      <c r="D5" s="19" t="e">
        <f>(INDEX('Raw Data'!$B$5:$F$40,MATCH("Total Current Assets",'Raw Data'!$A$5:$A$40,0),MATCH(D$4,'Raw Data'!$B$4:$F$4,0)))/(INDEX('Raw Data'!$B$5:$F$40,MATCH("Total Current Liabilities",'Raw Data'!$A$5:$A$40,0),MATCH(D$4,'Raw Data'!$B$4:$F$4,0)))</f>
        <v>#N/A</v>
      </c>
      <c r="E5" s="19" t="e">
        <f>(INDEX('Raw Data'!$B$5:$F$40,MATCH("Total Current Assets",'Raw Data'!$A$5:$A$40,0),MATCH(E$4,'Raw Data'!$B$4:$F$4,0)))/(INDEX('Raw Data'!$B$5:$F$40,MATCH("Total Current Liabilities",'Raw Data'!$A$5:$A$40,0),MATCH(E$4,'Raw Data'!$B$4:$F$4,0)))</f>
        <v>#N/A</v>
      </c>
      <c r="F5" s="19" t="e">
        <f>(INDEX('Raw Data'!$B$5:$F$40,MATCH("Total Current Assets",'Raw Data'!$A$5:$A$40,0),MATCH(F$4,'Raw Data'!$B$4:$F$4,0)))/(INDEX('Raw Data'!$B$5:$F$40,MATCH("Total Current Liabilities",'Raw Data'!$A$5:$A$40,0),MATCH(F$4,'Raw Data'!$B$4:$F$4,0)))</f>
        <v>#N/A</v>
      </c>
      <c r="G5" s="19" t="e">
        <f>(INDEX('Raw Data'!$B$5:$F$40,MATCH("Total Current Assets",'Raw Data'!$A$5:$A$40,0),MATCH(G$4,'Raw Data'!$B$4:$F$4,0)))/(INDEX('Raw Data'!$B$5:$F$40,MATCH("Total Current Liabilities",'Raw Data'!$A$5:$A$40,0),MATCH(G$4,'Raw Data'!$B$4:$F$4,0)))</f>
        <v>#N/A</v>
      </c>
      <c r="H5" s="20" t="str">
        <f>VLOOKUP($B5,Benchmarks!$A$5:$E$18,2,FALSE())</f>
        <v>Higher</v>
      </c>
      <c r="I5" s="21">
        <f>VLOOKUP($B5,Benchmarks!$A$5:$E$18,3,FALSE())</f>
        <v>2</v>
      </c>
      <c r="J5" s="22" t="e">
        <f>IF(H5="Higher",IF(G5&gt;=I5,"Strong",IF(G5&gt;=VLOOKUP($B5,Benchmarks!$A$5:$E$18,4,FALSE()),"Moderate","Weak")),IF(G5&lt;=I5,"Strong",IF(G5&lt;=VLOOKUP($B5,Benchmarks!$A$5:$E$18,4,FALSE()),"Moderate","Weak")))</f>
        <v>#N/A</v>
      </c>
    </row>
    <row r="6" spans="1:11" ht="15" customHeight="1">
      <c r="A6" s="17" t="s">
        <v>24</v>
      </c>
      <c r="B6" s="18" t="s">
        <v>25</v>
      </c>
      <c r="C6" s="19" t="e">
        <f>(INDEX('Raw Data'!$B$5:$F$40,MATCH("Total Current Assets",'Raw Data'!$A$5:$A$40,0),MATCH(C$4,'Raw Data'!$B$4:$F$4,0))-INDEX('Raw Data'!$B$5:$F$40,MATCH("Inventory",'Raw Data'!$A$5:$A$40,0),MATCH(C$4,'Raw Data'!$B$4:$F$4,0)))/(INDEX('Raw Data'!$B$5:$F$40,MATCH("Total Current Liabilities",'Raw Data'!$A$5:$A$40,0),MATCH(C$4,'Raw Data'!$B$4:$F$4,0)))</f>
        <v>#N/A</v>
      </c>
      <c r="D6" s="19" t="e">
        <f>(INDEX('Raw Data'!$B$5:$F$40,MATCH("Total Current Assets",'Raw Data'!$A$5:$A$40,0),MATCH(D$4,'Raw Data'!$B$4:$F$4,0))-INDEX('Raw Data'!$B$5:$F$40,MATCH("Inventory",'Raw Data'!$A$5:$A$40,0),MATCH(D$4,'Raw Data'!$B$4:$F$4,0)))/(INDEX('Raw Data'!$B$5:$F$40,MATCH("Total Current Liabilities",'Raw Data'!$A$5:$A$40,0),MATCH(D$4,'Raw Data'!$B$4:$F$4,0)))</f>
        <v>#N/A</v>
      </c>
      <c r="E6" s="19" t="e">
        <f>(INDEX('Raw Data'!$B$5:$F$40,MATCH("Total Current Assets",'Raw Data'!$A$5:$A$40,0),MATCH(E$4,'Raw Data'!$B$4:$F$4,0))-INDEX('Raw Data'!$B$5:$F$40,MATCH("Inventory",'Raw Data'!$A$5:$A$40,0),MATCH(E$4,'Raw Data'!$B$4:$F$4,0)))/(INDEX('Raw Data'!$B$5:$F$40,MATCH("Total Current Liabilities",'Raw Data'!$A$5:$A$40,0),MATCH(E$4,'Raw Data'!$B$4:$F$4,0)))</f>
        <v>#N/A</v>
      </c>
      <c r="F6" s="19" t="e">
        <f>(INDEX('Raw Data'!$B$5:$F$40,MATCH("Total Current Assets",'Raw Data'!$A$5:$A$40,0),MATCH(F$4,'Raw Data'!$B$4:$F$4,0))-INDEX('Raw Data'!$B$5:$F$40,MATCH("Inventory",'Raw Data'!$A$5:$A$40,0),MATCH(F$4,'Raw Data'!$B$4:$F$4,0)))/(INDEX('Raw Data'!$B$5:$F$40,MATCH("Total Current Liabilities",'Raw Data'!$A$5:$A$40,0),MATCH(F$4,'Raw Data'!$B$4:$F$4,0)))</f>
        <v>#N/A</v>
      </c>
      <c r="G6" s="19" t="e">
        <f>(INDEX('Raw Data'!$B$5:$F$40,MATCH("Total Current Assets",'Raw Data'!$A$5:$A$40,0),MATCH(G$4,'Raw Data'!$B$4:$F$4,0))-INDEX('Raw Data'!$B$5:$F$40,MATCH("Inventory",'Raw Data'!$A$5:$A$40,0),MATCH(G$4,'Raw Data'!$B$4:$F$4,0)))/(INDEX('Raw Data'!$B$5:$F$40,MATCH("Total Current Liabilities",'Raw Data'!$A$5:$A$40,0),MATCH(G$4,'Raw Data'!$B$4:$F$4,0)))</f>
        <v>#N/A</v>
      </c>
      <c r="H6" s="20" t="str">
        <f>VLOOKUP($B6,Benchmarks!$A$5:$E$18,2,FALSE())</f>
        <v>Higher</v>
      </c>
      <c r="I6" s="21">
        <f>VLOOKUP($B6,Benchmarks!$A$5:$E$18,3,FALSE())</f>
        <v>1</v>
      </c>
      <c r="J6" s="22" t="e">
        <f>IF(H6="Higher",IF(G6&gt;=I6,"Strong",IF(G6&gt;=VLOOKUP($B6,Benchmarks!$A$5:$E$18,4,FALSE()),"Moderate","Weak")),IF(G6&lt;=I6,"Strong",IF(G6&lt;=VLOOKUP($B6,Benchmarks!$A$5:$E$18,4,FALSE()),"Moderate","Weak")))</f>
        <v>#N/A</v>
      </c>
    </row>
    <row r="7" spans="1:11" ht="15" customHeight="1">
      <c r="A7" s="17" t="s">
        <v>24</v>
      </c>
      <c r="B7" s="18" t="s">
        <v>26</v>
      </c>
      <c r="C7" s="19" t="e">
        <f>(INDEX('Raw Data'!$B$5:$F$40,MATCH("Cash &amp; Equivalents",'Raw Data'!$A$5:$A$40,0),MATCH(C$4,'Raw Data'!$B$4:$F$4,0)))/(INDEX('Raw Data'!$B$5:$F$40,MATCH("Total Current Liabilities",'Raw Data'!$A$5:$A$40,0),MATCH(C$4,'Raw Data'!$B$4:$F$4,0)))</f>
        <v>#N/A</v>
      </c>
      <c r="D7" s="19" t="e">
        <f>(INDEX('Raw Data'!$B$5:$F$40,MATCH("Cash &amp; Equivalents",'Raw Data'!$A$5:$A$40,0),MATCH(D$4,'Raw Data'!$B$4:$F$4,0)))/(INDEX('Raw Data'!$B$5:$F$40,MATCH("Total Current Liabilities",'Raw Data'!$A$5:$A$40,0),MATCH(D$4,'Raw Data'!$B$4:$F$4,0)))</f>
        <v>#N/A</v>
      </c>
      <c r="E7" s="19" t="e">
        <f>(INDEX('Raw Data'!$B$5:$F$40,MATCH("Cash &amp; Equivalents",'Raw Data'!$A$5:$A$40,0),MATCH(E$4,'Raw Data'!$B$4:$F$4,0)))/(INDEX('Raw Data'!$B$5:$F$40,MATCH("Total Current Liabilities",'Raw Data'!$A$5:$A$40,0),MATCH(E$4,'Raw Data'!$B$4:$F$4,0)))</f>
        <v>#N/A</v>
      </c>
      <c r="F7" s="19" t="e">
        <f>(INDEX('Raw Data'!$B$5:$F$40,MATCH("Cash &amp; Equivalents",'Raw Data'!$A$5:$A$40,0),MATCH(F$4,'Raw Data'!$B$4:$F$4,0)))/(INDEX('Raw Data'!$B$5:$F$40,MATCH("Total Current Liabilities",'Raw Data'!$A$5:$A$40,0),MATCH(F$4,'Raw Data'!$B$4:$F$4,0)))</f>
        <v>#N/A</v>
      </c>
      <c r="G7" s="19" t="e">
        <f>(INDEX('Raw Data'!$B$5:$F$40,MATCH("Cash &amp; Equivalents",'Raw Data'!$A$5:$A$40,0),MATCH(G$4,'Raw Data'!$B$4:$F$4,0)))/(INDEX('Raw Data'!$B$5:$F$40,MATCH("Total Current Liabilities",'Raw Data'!$A$5:$A$40,0),MATCH(G$4,'Raw Data'!$B$4:$F$4,0)))</f>
        <v>#N/A</v>
      </c>
      <c r="H7" s="20" t="str">
        <f>VLOOKUP($B7,Benchmarks!$A$5:$E$18,2,FALSE())</f>
        <v>Higher</v>
      </c>
      <c r="I7" s="21">
        <f>VLOOKUP($B7,Benchmarks!$A$5:$E$18,3,FALSE())</f>
        <v>0.5</v>
      </c>
      <c r="J7" s="22" t="e">
        <f>IF(H7="Higher",IF(G7&gt;=I7,"Strong",IF(G7&gt;=VLOOKUP($B7,Benchmarks!$A$5:$E$18,4,FALSE()),"Moderate","Weak")),IF(G7&lt;=I7,"Strong",IF(G7&lt;=VLOOKUP($B7,Benchmarks!$A$5:$E$18,4,FALSE()),"Moderate","Weak")))</f>
        <v>#N/A</v>
      </c>
    </row>
    <row r="8" spans="1:11" ht="15" customHeight="1">
      <c r="A8" s="23" t="s">
        <v>27</v>
      </c>
      <c r="B8" s="18" t="s">
        <v>28</v>
      </c>
      <c r="C8" s="24" t="e">
        <f>(INDEX('Raw Data'!$B$5:$F$40,MATCH("Gross Profit",'Raw Data'!$A$5:$A$40,0),MATCH(C$4,'Raw Data'!$B$4:$F$4,0)))/(INDEX('Raw Data'!$B$5:$F$40,MATCH("Revenue",'Raw Data'!$A$5:$A$40,0),MATCH(C$4,'Raw Data'!$B$4:$F$4,0)))</f>
        <v>#N/A</v>
      </c>
      <c r="D8" s="24" t="e">
        <f>(INDEX('Raw Data'!$B$5:$F$40,MATCH("Gross Profit",'Raw Data'!$A$5:$A$40,0),MATCH(D$4,'Raw Data'!$B$4:$F$4,0)))/(INDEX('Raw Data'!$B$5:$F$40,MATCH("Revenue",'Raw Data'!$A$5:$A$40,0),MATCH(D$4,'Raw Data'!$B$4:$F$4,0)))</f>
        <v>#N/A</v>
      </c>
      <c r="E8" s="24" t="e">
        <f>(INDEX('Raw Data'!$B$5:$F$40,MATCH("Gross Profit",'Raw Data'!$A$5:$A$40,0),MATCH(E$4,'Raw Data'!$B$4:$F$4,0)))/(INDEX('Raw Data'!$B$5:$F$40,MATCH("Revenue",'Raw Data'!$A$5:$A$40,0),MATCH(E$4,'Raw Data'!$B$4:$F$4,0)))</f>
        <v>#N/A</v>
      </c>
      <c r="F8" s="24" t="e">
        <f>(INDEX('Raw Data'!$B$5:$F$40,MATCH("Gross Profit",'Raw Data'!$A$5:$A$40,0),MATCH(F$4,'Raw Data'!$B$4:$F$4,0)))/(INDEX('Raw Data'!$B$5:$F$40,MATCH("Revenue",'Raw Data'!$A$5:$A$40,0),MATCH(F$4,'Raw Data'!$B$4:$F$4,0)))</f>
        <v>#N/A</v>
      </c>
      <c r="G8" s="24" t="e">
        <f>(INDEX('Raw Data'!$B$5:$F$40,MATCH("Gross Profit",'Raw Data'!$A$5:$A$40,0),MATCH(G$4,'Raw Data'!$B$4:$F$4,0)))/(INDEX('Raw Data'!$B$5:$F$40,MATCH("Revenue",'Raw Data'!$A$5:$A$40,0),MATCH(G$4,'Raw Data'!$B$4:$F$4,0)))</f>
        <v>#N/A</v>
      </c>
      <c r="H8" s="20" t="str">
        <f>VLOOKUP($B8,Benchmarks!$A$5:$E$18,2,FALSE())</f>
        <v>Higher</v>
      </c>
      <c r="I8" s="25">
        <f>VLOOKUP($B8,Benchmarks!$A$5:$E$18,3,FALSE())</f>
        <v>0.4</v>
      </c>
      <c r="J8" s="22" t="e">
        <f>IF(H8="Higher",IF(G8&gt;=I8,"Strong",IF(G8&gt;=VLOOKUP($B8,Benchmarks!$A$5:$E$18,4,FALSE()),"Moderate","Weak")),IF(G8&lt;=I8,"Strong",IF(G8&lt;=VLOOKUP($B8,Benchmarks!$A$5:$E$18,4,FALSE()),"Moderate","Weak")))</f>
        <v>#N/A</v>
      </c>
    </row>
    <row r="9" spans="1:11" ht="15" customHeight="1">
      <c r="A9" s="23" t="s">
        <v>27</v>
      </c>
      <c r="B9" s="18" t="s">
        <v>29</v>
      </c>
      <c r="C9" s="24" t="e">
        <f>(INDEX('Raw Data'!$B$5:$F$40,MATCH("Operating Income (EBIT)",'Raw Data'!$A$5:$A$40,0),MATCH(C$4,'Raw Data'!$B$4:$F$4,0)))/(INDEX('Raw Data'!$B$5:$F$40,MATCH("Revenue",'Raw Data'!$A$5:$A$40,0),MATCH(C$4,'Raw Data'!$B$4:$F$4,0)))</f>
        <v>#N/A</v>
      </c>
      <c r="D9" s="24" t="e">
        <f>(INDEX('Raw Data'!$B$5:$F$40,MATCH("Operating Income (EBIT)",'Raw Data'!$A$5:$A$40,0),MATCH(D$4,'Raw Data'!$B$4:$F$4,0)))/(INDEX('Raw Data'!$B$5:$F$40,MATCH("Revenue",'Raw Data'!$A$5:$A$40,0),MATCH(D$4,'Raw Data'!$B$4:$F$4,0)))</f>
        <v>#N/A</v>
      </c>
      <c r="E9" s="24" t="e">
        <f>(INDEX('Raw Data'!$B$5:$F$40,MATCH("Operating Income (EBIT)",'Raw Data'!$A$5:$A$40,0),MATCH(E$4,'Raw Data'!$B$4:$F$4,0)))/(INDEX('Raw Data'!$B$5:$F$40,MATCH("Revenue",'Raw Data'!$A$5:$A$40,0),MATCH(E$4,'Raw Data'!$B$4:$F$4,0)))</f>
        <v>#N/A</v>
      </c>
      <c r="F9" s="24" t="e">
        <f>(INDEX('Raw Data'!$B$5:$F$40,MATCH("Operating Income (EBIT)",'Raw Data'!$A$5:$A$40,0),MATCH(F$4,'Raw Data'!$B$4:$F$4,0)))/(INDEX('Raw Data'!$B$5:$F$40,MATCH("Revenue",'Raw Data'!$A$5:$A$40,0),MATCH(F$4,'Raw Data'!$B$4:$F$4,0)))</f>
        <v>#N/A</v>
      </c>
      <c r="G9" s="24" t="e">
        <f>(INDEX('Raw Data'!$B$5:$F$40,MATCH("Operating Income (EBIT)",'Raw Data'!$A$5:$A$40,0),MATCH(G$4,'Raw Data'!$B$4:$F$4,0)))/(INDEX('Raw Data'!$B$5:$F$40,MATCH("Revenue",'Raw Data'!$A$5:$A$40,0),MATCH(G$4,'Raw Data'!$B$4:$F$4,0)))</f>
        <v>#N/A</v>
      </c>
      <c r="H9" s="20" t="str">
        <f>VLOOKUP($B9,Benchmarks!$A$5:$E$18,2,FALSE())</f>
        <v>Higher</v>
      </c>
      <c r="I9" s="25">
        <f>VLOOKUP($B9,Benchmarks!$A$5:$E$18,3,FALSE())</f>
        <v>0.15</v>
      </c>
      <c r="J9" s="22" t="e">
        <f>IF(H9="Higher",IF(G9&gt;=I9,"Strong",IF(G9&gt;=VLOOKUP($B9,Benchmarks!$A$5:$E$18,4,FALSE()),"Moderate","Weak")),IF(G9&lt;=I9,"Strong",IF(G9&lt;=VLOOKUP($B9,Benchmarks!$A$5:$E$18,4,FALSE()),"Moderate","Weak")))</f>
        <v>#N/A</v>
      </c>
    </row>
    <row r="10" spans="1:11" ht="15" customHeight="1">
      <c r="A10" s="23" t="s">
        <v>27</v>
      </c>
      <c r="B10" s="18" t="s">
        <v>7</v>
      </c>
      <c r="C10" s="24" t="e">
        <f>(INDEX('Raw Data'!$B$5:$F$40,MATCH("Net Income",'Raw Data'!$A$5:$A$40,0),MATCH(C$4,'Raw Data'!$B$4:$F$4,0)))/(INDEX('Raw Data'!$B$5:$F$40,MATCH("Revenue",'Raw Data'!$A$5:$A$40,0),MATCH(C$4,'Raw Data'!$B$4:$F$4,0)))</f>
        <v>#N/A</v>
      </c>
      <c r="D10" s="24" t="e">
        <f>(INDEX('Raw Data'!$B$5:$F$40,MATCH("Net Income",'Raw Data'!$A$5:$A$40,0),MATCH(D$4,'Raw Data'!$B$4:$F$4,0)))/(INDEX('Raw Data'!$B$5:$F$40,MATCH("Revenue",'Raw Data'!$A$5:$A$40,0),MATCH(D$4,'Raw Data'!$B$4:$F$4,0)))</f>
        <v>#N/A</v>
      </c>
      <c r="E10" s="24" t="e">
        <f>(INDEX('Raw Data'!$B$5:$F$40,MATCH("Net Income",'Raw Data'!$A$5:$A$40,0),MATCH(E$4,'Raw Data'!$B$4:$F$4,0)))/(INDEX('Raw Data'!$B$5:$F$40,MATCH("Revenue",'Raw Data'!$A$5:$A$40,0),MATCH(E$4,'Raw Data'!$B$4:$F$4,0)))</f>
        <v>#N/A</v>
      </c>
      <c r="F10" s="24" t="e">
        <f>(INDEX('Raw Data'!$B$5:$F$40,MATCH("Net Income",'Raw Data'!$A$5:$A$40,0),MATCH(F$4,'Raw Data'!$B$4:$F$4,0)))/(INDEX('Raw Data'!$B$5:$F$40,MATCH("Revenue",'Raw Data'!$A$5:$A$40,0),MATCH(F$4,'Raw Data'!$B$4:$F$4,0)))</f>
        <v>#N/A</v>
      </c>
      <c r="G10" s="24" t="e">
        <f>(INDEX('Raw Data'!$B$5:$F$40,MATCH("Net Income",'Raw Data'!$A$5:$A$40,0),MATCH(G$4,'Raw Data'!$B$4:$F$4,0)))/(INDEX('Raw Data'!$B$5:$F$40,MATCH("Revenue",'Raw Data'!$A$5:$A$40,0),MATCH(G$4,'Raw Data'!$B$4:$F$4,0)))</f>
        <v>#N/A</v>
      </c>
      <c r="H10" s="20" t="str">
        <f>VLOOKUP($B10,Benchmarks!$A$5:$E$18,2,FALSE())</f>
        <v>Higher</v>
      </c>
      <c r="I10" s="25">
        <f>VLOOKUP($B10,Benchmarks!$A$5:$E$18,3,FALSE())</f>
        <v>0.1</v>
      </c>
      <c r="J10" s="22" t="e">
        <f>IF(H10="Higher",IF(G10&gt;=I10,"Strong",IF(G10&gt;=VLOOKUP($B10,Benchmarks!$A$5:$E$18,4,FALSE()),"Moderate","Weak")),IF(G10&lt;=I10,"Strong",IF(G10&lt;=VLOOKUP($B10,Benchmarks!$A$5:$E$18,4,FALSE()),"Moderate","Weak")))</f>
        <v>#N/A</v>
      </c>
    </row>
    <row r="11" spans="1:11" ht="15" customHeight="1">
      <c r="A11" s="23" t="s">
        <v>27</v>
      </c>
      <c r="B11" s="18" t="s">
        <v>30</v>
      </c>
      <c r="C11" s="24" t="e">
        <f>(INDEX('Raw Data'!$B$5:$F$40,MATCH("Net Income",'Raw Data'!$A$5:$A$40,0),MATCH(C$4,'Raw Data'!$B$4:$F$4,0)))/(INDEX('Raw Data'!$B$5:$F$40,MATCH("Total Assets",'Raw Data'!$A$5:$A$40,0),MATCH(C$4,'Raw Data'!$B$4:$F$4,0)))</f>
        <v>#N/A</v>
      </c>
      <c r="D11" s="24" t="e">
        <f>(INDEX('Raw Data'!$B$5:$F$40,MATCH("Net Income",'Raw Data'!$A$5:$A$40,0),MATCH(D$4,'Raw Data'!$B$4:$F$4,0)))/(INDEX('Raw Data'!$B$5:$F$40,MATCH("Total Assets",'Raw Data'!$A$5:$A$40,0),MATCH(D$4,'Raw Data'!$B$4:$F$4,0)))</f>
        <v>#N/A</v>
      </c>
      <c r="E11" s="24" t="e">
        <f>(INDEX('Raw Data'!$B$5:$F$40,MATCH("Net Income",'Raw Data'!$A$5:$A$40,0),MATCH(E$4,'Raw Data'!$B$4:$F$4,0)))/(INDEX('Raw Data'!$B$5:$F$40,MATCH("Total Assets",'Raw Data'!$A$5:$A$40,0),MATCH(E$4,'Raw Data'!$B$4:$F$4,0)))</f>
        <v>#N/A</v>
      </c>
      <c r="F11" s="24" t="e">
        <f>(INDEX('Raw Data'!$B$5:$F$40,MATCH("Net Income",'Raw Data'!$A$5:$A$40,0),MATCH(F$4,'Raw Data'!$B$4:$F$4,0)))/(INDEX('Raw Data'!$B$5:$F$40,MATCH("Total Assets",'Raw Data'!$A$5:$A$40,0),MATCH(F$4,'Raw Data'!$B$4:$F$4,0)))</f>
        <v>#N/A</v>
      </c>
      <c r="G11" s="24" t="e">
        <f>(INDEX('Raw Data'!$B$5:$F$40,MATCH("Net Income",'Raw Data'!$A$5:$A$40,0),MATCH(G$4,'Raw Data'!$B$4:$F$4,0)))/(INDEX('Raw Data'!$B$5:$F$40,MATCH("Total Assets",'Raw Data'!$A$5:$A$40,0),MATCH(G$4,'Raw Data'!$B$4:$F$4,0)))</f>
        <v>#N/A</v>
      </c>
      <c r="H11" s="20" t="str">
        <f>VLOOKUP($B11,Benchmarks!$A$5:$E$18,2,FALSE())</f>
        <v>Higher</v>
      </c>
      <c r="I11" s="25">
        <f>VLOOKUP($B11,Benchmarks!$A$5:$E$18,3,FALSE())</f>
        <v>0.08</v>
      </c>
      <c r="J11" s="22" t="e">
        <f>IF(H11="Higher",IF(G11&gt;=I11,"Strong",IF(G11&gt;=VLOOKUP($B11,Benchmarks!$A$5:$E$18,4,FALSE()),"Moderate","Weak")),IF(G11&lt;=I11,"Strong",IF(G11&lt;=VLOOKUP($B11,Benchmarks!$A$5:$E$18,4,FALSE()),"Moderate","Weak")))</f>
        <v>#N/A</v>
      </c>
    </row>
    <row r="12" spans="1:11" ht="15" customHeight="1">
      <c r="A12" s="23" t="s">
        <v>27</v>
      </c>
      <c r="B12" s="18" t="s">
        <v>8</v>
      </c>
      <c r="C12" s="24" t="e">
        <f>(INDEX('Raw Data'!$B$5:$F$40,MATCH("Net Income",'Raw Data'!$A$5:$A$40,0),MATCH(C$4,'Raw Data'!$B$4:$F$4,0)))/(INDEX('Raw Data'!$B$5:$F$40,MATCH("Total Shareholders' Equity",'Raw Data'!$A$5:$A$40,0),MATCH(C$4,'Raw Data'!$B$4:$F$4,0)))</f>
        <v>#N/A</v>
      </c>
      <c r="D12" s="24" t="e">
        <f>(INDEX('Raw Data'!$B$5:$F$40,MATCH("Net Income",'Raw Data'!$A$5:$A$40,0),MATCH(D$4,'Raw Data'!$B$4:$F$4,0)))/(INDEX('Raw Data'!$B$5:$F$40,MATCH("Total Shareholders' Equity",'Raw Data'!$A$5:$A$40,0),MATCH(D$4,'Raw Data'!$B$4:$F$4,0)))</f>
        <v>#N/A</v>
      </c>
      <c r="E12" s="24" t="e">
        <f>(INDEX('Raw Data'!$B$5:$F$40,MATCH("Net Income",'Raw Data'!$A$5:$A$40,0),MATCH(E$4,'Raw Data'!$B$4:$F$4,0)))/(INDEX('Raw Data'!$B$5:$F$40,MATCH("Total Shareholders' Equity",'Raw Data'!$A$5:$A$40,0),MATCH(E$4,'Raw Data'!$B$4:$F$4,0)))</f>
        <v>#N/A</v>
      </c>
      <c r="F12" s="24" t="e">
        <f>(INDEX('Raw Data'!$B$5:$F$40,MATCH("Net Income",'Raw Data'!$A$5:$A$40,0),MATCH(F$4,'Raw Data'!$B$4:$F$4,0)))/(INDEX('Raw Data'!$B$5:$F$40,MATCH("Total Shareholders' Equity",'Raw Data'!$A$5:$A$40,0),MATCH(F$4,'Raw Data'!$B$4:$F$4,0)))</f>
        <v>#N/A</v>
      </c>
      <c r="G12" s="24" t="e">
        <f>(INDEX('Raw Data'!$B$5:$F$40,MATCH("Net Income",'Raw Data'!$A$5:$A$40,0),MATCH(G$4,'Raw Data'!$B$4:$F$4,0)))/(INDEX('Raw Data'!$B$5:$F$40,MATCH("Total Shareholders' Equity",'Raw Data'!$A$5:$A$40,0),MATCH(G$4,'Raw Data'!$B$4:$F$4,0)))</f>
        <v>#N/A</v>
      </c>
      <c r="H12" s="20" t="str">
        <f>VLOOKUP($B12,Benchmarks!$A$5:$E$18,2,FALSE())</f>
        <v>Higher</v>
      </c>
      <c r="I12" s="25">
        <f>VLOOKUP($B12,Benchmarks!$A$5:$E$18,3,FALSE())</f>
        <v>0.15</v>
      </c>
      <c r="J12" s="22" t="e">
        <f>IF(H12="Higher",IF(G12&gt;=I12,"Strong",IF(G12&gt;=VLOOKUP($B12,Benchmarks!$A$5:$E$18,4,FALSE()),"Moderate","Weak")),IF(G12&lt;=I12,"Strong",IF(G12&lt;=VLOOKUP($B12,Benchmarks!$A$5:$E$18,4,FALSE()),"Moderate","Weak")))</f>
        <v>#N/A</v>
      </c>
    </row>
    <row r="13" spans="1:11" ht="15" customHeight="1">
      <c r="A13" s="26" t="s">
        <v>31</v>
      </c>
      <c r="B13" s="18" t="s">
        <v>9</v>
      </c>
      <c r="C13" s="19" t="e">
        <f>(INDEX('Raw Data'!$B$5:$F$40,MATCH("Total Liabilities",'Raw Data'!$A$5:$A$40,0),MATCH(C$4,'Raw Data'!$B$4:$F$4,0)))/(INDEX('Raw Data'!$B$5:$F$40,MATCH("Total Shareholders' Equity",'Raw Data'!$A$5:$A$40,0),MATCH(C$4,'Raw Data'!$B$4:$F$4,0)))</f>
        <v>#N/A</v>
      </c>
      <c r="D13" s="19" t="e">
        <f>(INDEX('Raw Data'!$B$5:$F$40,MATCH("Total Liabilities",'Raw Data'!$A$5:$A$40,0),MATCH(D$4,'Raw Data'!$B$4:$F$4,0)))/(INDEX('Raw Data'!$B$5:$F$40,MATCH("Total Shareholders' Equity",'Raw Data'!$A$5:$A$40,0),MATCH(D$4,'Raw Data'!$B$4:$F$4,0)))</f>
        <v>#N/A</v>
      </c>
      <c r="E13" s="19" t="e">
        <f>(INDEX('Raw Data'!$B$5:$F$40,MATCH("Total Liabilities",'Raw Data'!$A$5:$A$40,0),MATCH(E$4,'Raw Data'!$B$4:$F$4,0)))/(INDEX('Raw Data'!$B$5:$F$40,MATCH("Total Shareholders' Equity",'Raw Data'!$A$5:$A$40,0),MATCH(E$4,'Raw Data'!$B$4:$F$4,0)))</f>
        <v>#N/A</v>
      </c>
      <c r="F13" s="19" t="e">
        <f>(INDEX('Raw Data'!$B$5:$F$40,MATCH("Total Liabilities",'Raw Data'!$A$5:$A$40,0),MATCH(F$4,'Raw Data'!$B$4:$F$4,0)))/(INDEX('Raw Data'!$B$5:$F$40,MATCH("Total Shareholders' Equity",'Raw Data'!$A$5:$A$40,0),MATCH(F$4,'Raw Data'!$B$4:$F$4,0)))</f>
        <v>#N/A</v>
      </c>
      <c r="G13" s="19" t="e">
        <f>(INDEX('Raw Data'!$B$5:$F$40,MATCH("Total Liabilities",'Raw Data'!$A$5:$A$40,0),MATCH(G$4,'Raw Data'!$B$4:$F$4,0)))/(INDEX('Raw Data'!$B$5:$F$40,MATCH("Total Shareholders' Equity",'Raw Data'!$A$5:$A$40,0),MATCH(G$4,'Raw Data'!$B$4:$F$4,0)))</f>
        <v>#N/A</v>
      </c>
      <c r="H13" s="20" t="str">
        <f>VLOOKUP($B13,Benchmarks!$A$5:$E$18,2,FALSE())</f>
        <v>Lower</v>
      </c>
      <c r="I13" s="21">
        <f>VLOOKUP($B13,Benchmarks!$A$5:$E$18,3,FALSE())</f>
        <v>1</v>
      </c>
      <c r="J13" s="22" t="e">
        <f>IF(H13="Higher",IF(G13&gt;=I13,"Strong",IF(G13&gt;=VLOOKUP($B13,Benchmarks!$A$5:$E$18,4,FALSE()),"Moderate","Weak")),IF(G13&lt;=I13,"Strong",IF(G13&lt;=VLOOKUP($B13,Benchmarks!$A$5:$E$18,4,FALSE()),"Moderate","Weak")))</f>
        <v>#N/A</v>
      </c>
    </row>
    <row r="14" spans="1:11" ht="15" customHeight="1">
      <c r="A14" s="26" t="s">
        <v>31</v>
      </c>
      <c r="B14" s="18" t="s">
        <v>32</v>
      </c>
      <c r="C14" s="19" t="e">
        <f>(INDEX('Raw Data'!$B$5:$F$40,MATCH("Total Liabilities",'Raw Data'!$A$5:$A$40,0),MATCH(C$4,'Raw Data'!$B$4:$F$4,0)))/(INDEX('Raw Data'!$B$5:$F$40,MATCH("Total Assets",'Raw Data'!$A$5:$A$40,0),MATCH(C$4,'Raw Data'!$B$4:$F$4,0)))</f>
        <v>#N/A</v>
      </c>
      <c r="D14" s="19" t="e">
        <f>(INDEX('Raw Data'!$B$5:$F$40,MATCH("Total Liabilities",'Raw Data'!$A$5:$A$40,0),MATCH(D$4,'Raw Data'!$B$4:$F$4,0)))/(INDEX('Raw Data'!$B$5:$F$40,MATCH("Total Assets",'Raw Data'!$A$5:$A$40,0),MATCH(D$4,'Raw Data'!$B$4:$F$4,0)))</f>
        <v>#N/A</v>
      </c>
      <c r="E14" s="19" t="e">
        <f>(INDEX('Raw Data'!$B$5:$F$40,MATCH("Total Liabilities",'Raw Data'!$A$5:$A$40,0),MATCH(E$4,'Raw Data'!$B$4:$F$4,0)))/(INDEX('Raw Data'!$B$5:$F$40,MATCH("Total Assets",'Raw Data'!$A$5:$A$40,0),MATCH(E$4,'Raw Data'!$B$4:$F$4,0)))</f>
        <v>#N/A</v>
      </c>
      <c r="F14" s="19" t="e">
        <f>(INDEX('Raw Data'!$B$5:$F$40,MATCH("Total Liabilities",'Raw Data'!$A$5:$A$40,0),MATCH(F$4,'Raw Data'!$B$4:$F$4,0)))/(INDEX('Raw Data'!$B$5:$F$40,MATCH("Total Assets",'Raw Data'!$A$5:$A$40,0),MATCH(F$4,'Raw Data'!$B$4:$F$4,0)))</f>
        <v>#N/A</v>
      </c>
      <c r="G14" s="19" t="e">
        <f>(INDEX('Raw Data'!$B$5:$F$40,MATCH("Total Liabilities",'Raw Data'!$A$5:$A$40,0),MATCH(G$4,'Raw Data'!$B$4:$F$4,0)))/(INDEX('Raw Data'!$B$5:$F$40,MATCH("Total Assets",'Raw Data'!$A$5:$A$40,0),MATCH(G$4,'Raw Data'!$B$4:$F$4,0)))</f>
        <v>#N/A</v>
      </c>
      <c r="H14" s="20" t="str">
        <f>VLOOKUP($B14,Benchmarks!$A$5:$E$18,2,FALSE())</f>
        <v>Lower</v>
      </c>
      <c r="I14" s="21">
        <f>VLOOKUP($B14,Benchmarks!$A$5:$E$18,3,FALSE())</f>
        <v>0.45</v>
      </c>
      <c r="J14" s="22" t="e">
        <f>IF(H14="Higher",IF(G14&gt;=I14,"Strong",IF(G14&gt;=VLOOKUP($B14,Benchmarks!$A$5:$E$18,4,FALSE()),"Moderate","Weak")),IF(G14&lt;=I14,"Strong",IF(G14&lt;=VLOOKUP($B14,Benchmarks!$A$5:$E$18,4,FALSE()),"Moderate","Weak")))</f>
        <v>#N/A</v>
      </c>
    </row>
    <row r="15" spans="1:11" ht="15" customHeight="1">
      <c r="A15" s="26" t="s">
        <v>31</v>
      </c>
      <c r="B15" s="18" t="s">
        <v>10</v>
      </c>
      <c r="C15" s="19">
        <f>IFERROR((INDEX('Raw Data'!$B$5:$F$40,MATCH("Operating Income (EBIT)",'Raw Data'!$A$5:$A$40,0),MATCH(C$4,'Raw Data'!$B$4:$F$4,0)))/(INDEX('Raw Data'!$B$5:$F$40,MATCH("Interest Expense",'Raw Data'!$A$5:$A$40,0),MATCH(C$4,'Raw Data'!$B$4:$F$4,0))),0)</f>
        <v>0</v>
      </c>
      <c r="D15" s="19">
        <f>IFERROR((INDEX('Raw Data'!$B$5:$F$40,MATCH("Operating Income (EBIT)",'Raw Data'!$A$5:$A$40,0),MATCH(D$4,'Raw Data'!$B$4:$F$4,0)))/(INDEX('Raw Data'!$B$5:$F$40,MATCH("Interest Expense",'Raw Data'!$A$5:$A$40,0),MATCH(D$4,'Raw Data'!$B$4:$F$4,0))),0)</f>
        <v>0</v>
      </c>
      <c r="E15" s="19">
        <f>IFERROR((INDEX('Raw Data'!$B$5:$F$40,MATCH("Operating Income (EBIT)",'Raw Data'!$A$5:$A$40,0),MATCH(E$4,'Raw Data'!$B$4:$F$4,0)))/(INDEX('Raw Data'!$B$5:$F$40,MATCH("Interest Expense",'Raw Data'!$A$5:$A$40,0),MATCH(E$4,'Raw Data'!$B$4:$F$4,0))),0)</f>
        <v>0</v>
      </c>
      <c r="F15" s="19">
        <f>IFERROR((INDEX('Raw Data'!$B$5:$F$40,MATCH("Operating Income (EBIT)",'Raw Data'!$A$5:$A$40,0),MATCH(F$4,'Raw Data'!$B$4:$F$4,0)))/(INDEX('Raw Data'!$B$5:$F$40,MATCH("Interest Expense",'Raw Data'!$A$5:$A$40,0),MATCH(F$4,'Raw Data'!$B$4:$F$4,0))),0)</f>
        <v>0</v>
      </c>
      <c r="G15" s="19">
        <f>IFERROR((INDEX('Raw Data'!$B$5:$F$40,MATCH("Operating Income (EBIT)",'Raw Data'!$A$5:$A$40,0),MATCH(G$4,'Raw Data'!$B$4:$F$4,0)))/(INDEX('Raw Data'!$B$5:$F$40,MATCH("Interest Expense",'Raw Data'!$A$5:$A$40,0),MATCH(G$4,'Raw Data'!$B$4:$F$4,0))),0)</f>
        <v>0</v>
      </c>
      <c r="H15" s="20" t="str">
        <f>VLOOKUP($B15,Benchmarks!$A$5:$E$18,2,FALSE())</f>
        <v>Higher</v>
      </c>
      <c r="I15" s="21">
        <f>VLOOKUP($B15,Benchmarks!$A$5:$E$18,3,FALSE())</f>
        <v>6</v>
      </c>
      <c r="J15" s="22" t="str">
        <f>IF(H15="Higher",IF(G15&gt;=I15,"Strong",IF(G15&gt;=VLOOKUP($B15,Benchmarks!$A$5:$E$18,4,FALSE()),"Moderate","Weak")),IF(G15&lt;=I15,"Strong",IF(G15&lt;=VLOOKUP($B15,Benchmarks!$A$5:$E$18,4,FALSE()),"Moderate","Weak")))</f>
        <v>Weak</v>
      </c>
    </row>
    <row r="16" spans="1:11" ht="15" customHeight="1">
      <c r="A16" s="27" t="s">
        <v>33</v>
      </c>
      <c r="B16" s="18" t="s">
        <v>11</v>
      </c>
      <c r="C16" s="19" t="e">
        <f>(INDEX('Raw Data'!$B$5:$F$40,MATCH("Revenue",'Raw Data'!$A$5:$A$40,0),MATCH(C$4,'Raw Data'!$B$4:$F$4,0)))/(INDEX('Raw Data'!$B$5:$F$40,MATCH("Total Assets",'Raw Data'!$A$5:$A$40,0),MATCH(C$4,'Raw Data'!$B$4:$F$4,0)))</f>
        <v>#N/A</v>
      </c>
      <c r="D16" s="19" t="e">
        <f>(INDEX('Raw Data'!$B$5:$F$40,MATCH("Revenue",'Raw Data'!$A$5:$A$40,0),MATCH(D$4,'Raw Data'!$B$4:$F$4,0)))/(INDEX('Raw Data'!$B$5:$F$40,MATCH("Total Assets",'Raw Data'!$A$5:$A$40,0),MATCH(D$4,'Raw Data'!$B$4:$F$4,0)))</f>
        <v>#N/A</v>
      </c>
      <c r="E16" s="19" t="e">
        <f>(INDEX('Raw Data'!$B$5:$F$40,MATCH("Revenue",'Raw Data'!$A$5:$A$40,0),MATCH(E$4,'Raw Data'!$B$4:$F$4,0)))/(INDEX('Raw Data'!$B$5:$F$40,MATCH("Total Assets",'Raw Data'!$A$5:$A$40,0),MATCH(E$4,'Raw Data'!$B$4:$F$4,0)))</f>
        <v>#N/A</v>
      </c>
      <c r="F16" s="19" t="e">
        <f>(INDEX('Raw Data'!$B$5:$F$40,MATCH("Revenue",'Raw Data'!$A$5:$A$40,0),MATCH(F$4,'Raw Data'!$B$4:$F$4,0)))/(INDEX('Raw Data'!$B$5:$F$40,MATCH("Total Assets",'Raw Data'!$A$5:$A$40,0),MATCH(F$4,'Raw Data'!$B$4:$F$4,0)))</f>
        <v>#N/A</v>
      </c>
      <c r="G16" s="19" t="e">
        <f>(INDEX('Raw Data'!$B$5:$F$40,MATCH("Revenue",'Raw Data'!$A$5:$A$40,0),MATCH(G$4,'Raw Data'!$B$4:$F$4,0)))/(INDEX('Raw Data'!$B$5:$F$40,MATCH("Total Assets",'Raw Data'!$A$5:$A$40,0),MATCH(G$4,'Raw Data'!$B$4:$F$4,0)))</f>
        <v>#N/A</v>
      </c>
      <c r="H16" s="20" t="str">
        <f>VLOOKUP($B16,Benchmarks!$A$5:$E$18,2,FALSE())</f>
        <v>Higher</v>
      </c>
      <c r="I16" s="21">
        <f>VLOOKUP($B16,Benchmarks!$A$5:$E$18,3,FALSE())</f>
        <v>1.2</v>
      </c>
      <c r="J16" s="22" t="e">
        <f>IF(H16="Higher",IF(G16&gt;=I16,"Strong",IF(G16&gt;=VLOOKUP($B16,Benchmarks!$A$5:$E$18,4,FALSE()),"Moderate","Weak")),IF(G16&lt;=I16,"Strong",IF(G16&lt;=VLOOKUP($B16,Benchmarks!$A$5:$E$18,4,FALSE()),"Moderate","Weak")))</f>
        <v>#N/A</v>
      </c>
    </row>
    <row r="17" spans="1:10" ht="15" customHeight="1">
      <c r="A17" s="27" t="s">
        <v>33</v>
      </c>
      <c r="B17" s="18" t="s">
        <v>34</v>
      </c>
      <c r="C17" s="19">
        <f>IFERROR((INDEX('Raw Data'!$B$5:$F$40,MATCH("Cost of Goods Sold",'Raw Data'!$A$5:$A$40,0),MATCH(C$4,'Raw Data'!$B$4:$F$4,0)))/(INDEX('Raw Data'!$B$5:$F$40,MATCH("Inventory",'Raw Data'!$A$5:$A$40,0),MATCH(C$4,'Raw Data'!$B$4:$F$4,0))),0)</f>
        <v>0</v>
      </c>
      <c r="D17" s="19">
        <f>IFERROR((INDEX('Raw Data'!$B$5:$F$40,MATCH("Cost of Goods Sold",'Raw Data'!$A$5:$A$40,0),MATCH(D$4,'Raw Data'!$B$4:$F$4,0)))/(INDEX('Raw Data'!$B$5:$F$40,MATCH("Inventory",'Raw Data'!$A$5:$A$40,0),MATCH(D$4,'Raw Data'!$B$4:$F$4,0))),0)</f>
        <v>0</v>
      </c>
      <c r="E17" s="19">
        <f>IFERROR((INDEX('Raw Data'!$B$5:$F$40,MATCH("Cost of Goods Sold",'Raw Data'!$A$5:$A$40,0),MATCH(E$4,'Raw Data'!$B$4:$F$4,0)))/(INDEX('Raw Data'!$B$5:$F$40,MATCH("Inventory",'Raw Data'!$A$5:$A$40,0),MATCH(E$4,'Raw Data'!$B$4:$F$4,0))),0)</f>
        <v>0</v>
      </c>
      <c r="F17" s="19">
        <f>IFERROR((INDEX('Raw Data'!$B$5:$F$40,MATCH("Cost of Goods Sold",'Raw Data'!$A$5:$A$40,0),MATCH(F$4,'Raw Data'!$B$4:$F$4,0)))/(INDEX('Raw Data'!$B$5:$F$40,MATCH("Inventory",'Raw Data'!$A$5:$A$40,0),MATCH(F$4,'Raw Data'!$B$4:$F$4,0))),0)</f>
        <v>0</v>
      </c>
      <c r="G17" s="19">
        <f>IFERROR((INDEX('Raw Data'!$B$5:$F$40,MATCH("Cost of Goods Sold",'Raw Data'!$A$5:$A$40,0),MATCH(G$4,'Raw Data'!$B$4:$F$4,0)))/(INDEX('Raw Data'!$B$5:$F$40,MATCH("Inventory",'Raw Data'!$A$5:$A$40,0),MATCH(G$4,'Raw Data'!$B$4:$F$4,0))),0)</f>
        <v>0</v>
      </c>
      <c r="H17" s="20" t="str">
        <f>VLOOKUP($B17,Benchmarks!$A$5:$E$18,2,FALSE())</f>
        <v>Higher</v>
      </c>
      <c r="I17" s="21">
        <f>VLOOKUP($B17,Benchmarks!$A$5:$E$18,3,FALSE())</f>
        <v>5</v>
      </c>
      <c r="J17" s="22" t="str">
        <f>IF(H17="Higher",IF(G17&gt;=I17,"Strong",IF(G17&gt;=VLOOKUP($B17,Benchmarks!$A$5:$E$18,4,FALSE()),"Moderate","Weak")),IF(G17&lt;=I17,"Strong",IF(G17&lt;=VLOOKUP($B17,Benchmarks!$A$5:$E$18,4,FALSE()),"Moderate","Weak")))</f>
        <v>Weak</v>
      </c>
    </row>
    <row r="18" spans="1:10" ht="15" customHeight="1">
      <c r="A18" s="27" t="s">
        <v>33</v>
      </c>
      <c r="B18" s="18" t="s">
        <v>35</v>
      </c>
      <c r="C18" s="19">
        <f>IFERROR((INDEX('Raw Data'!$B$5:$F$40,MATCH("Revenue",'Raw Data'!$A$5:$A$40,0),MATCH(C$4,'Raw Data'!$B$4:$F$4,0)))/(INDEX('Raw Data'!$B$5:$F$40,MATCH("Accounts Receivable",'Raw Data'!$A$5:$A$40,0),MATCH(C$4,'Raw Data'!$B$4:$F$4,0))),0)</f>
        <v>0</v>
      </c>
      <c r="D18" s="19">
        <f>IFERROR((INDEX('Raw Data'!$B$5:$F$40,MATCH("Revenue",'Raw Data'!$A$5:$A$40,0),MATCH(D$4,'Raw Data'!$B$4:$F$4,0)))/(INDEX('Raw Data'!$B$5:$F$40,MATCH("Accounts Receivable",'Raw Data'!$A$5:$A$40,0),MATCH(D$4,'Raw Data'!$B$4:$F$4,0))),0)</f>
        <v>0</v>
      </c>
      <c r="E18" s="19">
        <f>IFERROR((INDEX('Raw Data'!$B$5:$F$40,MATCH("Revenue",'Raw Data'!$A$5:$A$40,0),MATCH(E$4,'Raw Data'!$B$4:$F$4,0)))/(INDEX('Raw Data'!$B$5:$F$40,MATCH("Accounts Receivable",'Raw Data'!$A$5:$A$40,0),MATCH(E$4,'Raw Data'!$B$4:$F$4,0))),0)</f>
        <v>0</v>
      </c>
      <c r="F18" s="19">
        <f>IFERROR((INDEX('Raw Data'!$B$5:$F$40,MATCH("Revenue",'Raw Data'!$A$5:$A$40,0),MATCH(F$4,'Raw Data'!$B$4:$F$4,0)))/(INDEX('Raw Data'!$B$5:$F$40,MATCH("Accounts Receivable",'Raw Data'!$A$5:$A$40,0),MATCH(F$4,'Raw Data'!$B$4:$F$4,0))),0)</f>
        <v>0</v>
      </c>
      <c r="G18" s="19">
        <f>IFERROR((INDEX('Raw Data'!$B$5:$F$40,MATCH("Revenue",'Raw Data'!$A$5:$A$40,0),MATCH(G$4,'Raw Data'!$B$4:$F$4,0)))/(INDEX('Raw Data'!$B$5:$F$40,MATCH("Accounts Receivable",'Raw Data'!$A$5:$A$40,0),MATCH(G$4,'Raw Data'!$B$4:$F$4,0))),0)</f>
        <v>0</v>
      </c>
      <c r="H18" s="20" t="str">
        <f>VLOOKUP($B18,Benchmarks!$A$5:$E$18,2,FALSE())</f>
        <v>Higher</v>
      </c>
      <c r="I18" s="21">
        <f>VLOOKUP($B18,Benchmarks!$A$5:$E$18,3,FALSE())</f>
        <v>9</v>
      </c>
      <c r="J18" s="22" t="str">
        <f>IF(H18="Higher",IF(G18&gt;=I18,"Strong",IF(G18&gt;=VLOOKUP($B18,Benchmarks!$A$5:$E$18,4,FALSE()),"Moderate","Weak")),IF(G18&lt;=I18,"Strong",IF(G18&lt;=VLOOKUP($B18,Benchmarks!$A$5:$E$18,4,FALSE()),"Moderate","Weak")))</f>
        <v>Weak</v>
      </c>
    </row>
  </sheetData>
  <mergeCells count="2">
    <mergeCell ref="A1:K1"/>
    <mergeCell ref="A2:K2"/>
  </mergeCells>
  <conditionalFormatting sqref="J5:J18">
    <cfRule type="cellIs" dxfId="2" priority="2" operator="equal">
      <formula>"Strong"</formula>
    </cfRule>
    <cfRule type="cellIs" dxfId="1" priority="3" operator="equal">
      <formula>"Moderate"</formula>
    </cfRule>
    <cfRule type="cellIs" dxfId="0" priority="4" operator="equal">
      <formula>"Weak"</formula>
    </cfRule>
  </conditionalFormatting>
  <pageMargins left="0.3" right="0.3" top="0.4" bottom="0.4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328125" defaultRowHeight="14.5"/>
  <cols>
    <col min="1" max="1" width="34" style="15" customWidth="1"/>
    <col min="2" max="6" width="13" style="15" customWidth="1"/>
  </cols>
  <sheetData>
    <row r="1" spans="1:6" ht="17.25" customHeight="1">
      <c r="A1" s="44" t="s">
        <v>36</v>
      </c>
      <c r="B1" s="44"/>
      <c r="C1" s="44"/>
      <c r="D1" s="44"/>
      <c r="E1" s="44"/>
      <c r="F1" s="44"/>
    </row>
    <row r="2" spans="1:6" ht="15" customHeight="1">
      <c r="A2" s="45" t="s">
        <v>37</v>
      </c>
      <c r="B2" s="45"/>
      <c r="C2" s="45"/>
      <c r="D2" s="45"/>
      <c r="E2" s="45"/>
      <c r="F2" s="45"/>
    </row>
    <row r="4" spans="1:6" ht="15" customHeight="1">
      <c r="A4" s="16" t="s">
        <v>38</v>
      </c>
      <c r="B4" s="16">
        <v>2020</v>
      </c>
      <c r="C4" s="16">
        <v>2021</v>
      </c>
      <c r="D4" s="16">
        <v>2022</v>
      </c>
      <c r="E4" s="16">
        <v>2023</v>
      </c>
      <c r="F4" s="16">
        <v>2024</v>
      </c>
    </row>
    <row r="5" spans="1:6" ht="15" customHeight="1">
      <c r="A5" s="28" t="s">
        <v>39</v>
      </c>
      <c r="B5" s="29"/>
      <c r="C5" s="29"/>
      <c r="D5" s="29"/>
      <c r="E5" s="29"/>
      <c r="F5" s="29"/>
    </row>
    <row r="6" spans="1:6" ht="15" customHeight="1">
      <c r="A6" s="30" t="s">
        <v>40</v>
      </c>
      <c r="B6" s="31">
        <v>120000</v>
      </c>
      <c r="C6" s="31">
        <v>138000</v>
      </c>
      <c r="D6" s="31">
        <v>152000</v>
      </c>
      <c r="E6" s="31">
        <v>171000</v>
      </c>
      <c r="F6" s="31">
        <v>196000</v>
      </c>
    </row>
    <row r="7" spans="1:6" ht="15" customHeight="1">
      <c r="A7" s="32" t="s">
        <v>41</v>
      </c>
      <c r="B7" s="31">
        <v>72000</v>
      </c>
      <c r="C7" s="31">
        <v>81420</v>
      </c>
      <c r="D7" s="31">
        <v>89680</v>
      </c>
      <c r="E7" s="31">
        <v>99180</v>
      </c>
      <c r="F7" s="31">
        <v>112420</v>
      </c>
    </row>
    <row r="8" spans="1:6" ht="15" customHeight="1">
      <c r="A8" s="30" t="s">
        <v>42</v>
      </c>
      <c r="B8" s="33">
        <f>B6-B7</f>
        <v>48000</v>
      </c>
      <c r="C8" s="33">
        <f>C6-C7</f>
        <v>56580</v>
      </c>
      <c r="D8" s="33">
        <f>D6-D7</f>
        <v>62320</v>
      </c>
      <c r="E8" s="33">
        <f>E6-E7</f>
        <v>71820</v>
      </c>
      <c r="F8" s="33">
        <f>F6-F7</f>
        <v>83580</v>
      </c>
    </row>
    <row r="9" spans="1:6" ht="15" customHeight="1">
      <c r="A9" s="32" t="s">
        <v>43</v>
      </c>
      <c r="B9" s="31">
        <v>30000</v>
      </c>
      <c r="C9" s="31">
        <v>33000</v>
      </c>
      <c r="D9" s="31">
        <v>35500</v>
      </c>
      <c r="E9" s="31">
        <v>38500</v>
      </c>
      <c r="F9" s="31">
        <v>42000</v>
      </c>
    </row>
    <row r="10" spans="1:6" ht="15" customHeight="1">
      <c r="A10" s="30" t="s">
        <v>44</v>
      </c>
      <c r="B10" s="33">
        <f>B8-B9</f>
        <v>18000</v>
      </c>
      <c r="C10" s="33">
        <f>C8-C9</f>
        <v>23580</v>
      </c>
      <c r="D10" s="33">
        <f>D8-D9</f>
        <v>26820</v>
      </c>
      <c r="E10" s="33">
        <f>E8-E9</f>
        <v>33320</v>
      </c>
      <c r="F10" s="33">
        <f>F8-F9</f>
        <v>41580</v>
      </c>
    </row>
    <row r="11" spans="1:6" ht="15" customHeight="1">
      <c r="A11" s="32" t="s">
        <v>45</v>
      </c>
      <c r="B11" s="31">
        <v>3200</v>
      </c>
      <c r="C11" s="31">
        <v>3000</v>
      </c>
      <c r="D11" s="31">
        <v>2800</v>
      </c>
      <c r="E11" s="31">
        <v>2500</v>
      </c>
      <c r="F11" s="31">
        <v>2200</v>
      </c>
    </row>
    <row r="12" spans="1:6" ht="15" customHeight="1">
      <c r="A12" s="32" t="s">
        <v>46</v>
      </c>
      <c r="B12" s="33">
        <f>B10-B11</f>
        <v>14800</v>
      </c>
      <c r="C12" s="33">
        <f>C10-C11</f>
        <v>20580</v>
      </c>
      <c r="D12" s="33">
        <f>D10-D11</f>
        <v>24020</v>
      </c>
      <c r="E12" s="33">
        <f>E10-E11</f>
        <v>30820</v>
      </c>
      <c r="F12" s="33">
        <f>F10-F11</f>
        <v>39380</v>
      </c>
    </row>
    <row r="13" spans="1:6" ht="15" customHeight="1">
      <c r="A13" s="32" t="s">
        <v>47</v>
      </c>
      <c r="B13" s="34">
        <v>0.25</v>
      </c>
      <c r="C13" s="34">
        <v>0.25</v>
      </c>
      <c r="D13" s="34">
        <v>0.25</v>
      </c>
      <c r="E13" s="34">
        <v>0.25</v>
      </c>
      <c r="F13" s="34">
        <v>0.25</v>
      </c>
    </row>
    <row r="14" spans="1:6" ht="15" customHeight="1">
      <c r="A14" s="32" t="s">
        <v>48</v>
      </c>
      <c r="B14" s="33">
        <f>B12*B13</f>
        <v>3700</v>
      </c>
      <c r="C14" s="33">
        <f>C12*C13</f>
        <v>5145</v>
      </c>
      <c r="D14" s="33">
        <f>D12*D13</f>
        <v>6005</v>
      </c>
      <c r="E14" s="33">
        <f>E12*E13</f>
        <v>7705</v>
      </c>
      <c r="F14" s="33">
        <f>F12*F13</f>
        <v>9845</v>
      </c>
    </row>
    <row r="15" spans="1:6" ht="15" customHeight="1">
      <c r="A15" s="30" t="s">
        <v>49</v>
      </c>
      <c r="B15" s="33">
        <f>B12-B14</f>
        <v>11100</v>
      </c>
      <c r="C15" s="33">
        <f>C12-C14</f>
        <v>15435</v>
      </c>
      <c r="D15" s="33">
        <f>D12-D14</f>
        <v>18015</v>
      </c>
      <c r="E15" s="33">
        <f>E12-E14</f>
        <v>23115</v>
      </c>
      <c r="F15" s="33">
        <f>F12-F14</f>
        <v>29535</v>
      </c>
    </row>
    <row r="17" spans="1:6" ht="15" customHeight="1">
      <c r="A17" s="28" t="s">
        <v>50</v>
      </c>
      <c r="B17" s="29"/>
      <c r="C17" s="29"/>
      <c r="D17" s="29"/>
      <c r="E17" s="29"/>
      <c r="F17" s="29"/>
    </row>
    <row r="18" spans="1:6" ht="15" customHeight="1">
      <c r="A18" s="32" t="s">
        <v>51</v>
      </c>
      <c r="B18" s="31">
        <v>8000</v>
      </c>
      <c r="C18" s="31">
        <v>9500</v>
      </c>
      <c r="D18" s="31">
        <v>11200</v>
      </c>
      <c r="E18" s="31">
        <v>14500</v>
      </c>
      <c r="F18" s="31">
        <v>18700</v>
      </c>
    </row>
    <row r="19" spans="1:6" ht="15" customHeight="1">
      <c r="A19" s="32" t="s">
        <v>52</v>
      </c>
      <c r="B19" s="31">
        <v>12000</v>
      </c>
      <c r="C19" s="31">
        <v>13500</v>
      </c>
      <c r="D19" s="31">
        <v>14800</v>
      </c>
      <c r="E19" s="31">
        <v>16200</v>
      </c>
      <c r="F19" s="31">
        <v>18100</v>
      </c>
    </row>
    <row r="20" spans="1:6" ht="15" customHeight="1">
      <c r="A20" s="32" t="s">
        <v>53</v>
      </c>
      <c r="B20" s="31">
        <v>15000</v>
      </c>
      <c r="C20" s="31">
        <v>16800</v>
      </c>
      <c r="D20" s="31">
        <v>17900</v>
      </c>
      <c r="E20" s="31">
        <v>19200</v>
      </c>
      <c r="F20" s="31">
        <v>20500</v>
      </c>
    </row>
    <row r="21" spans="1:6" ht="15" customHeight="1">
      <c r="A21" s="32" t="s">
        <v>54</v>
      </c>
      <c r="B21" s="31">
        <v>2000</v>
      </c>
      <c r="C21" s="31">
        <v>2200</v>
      </c>
      <c r="D21" s="31">
        <v>2400</v>
      </c>
      <c r="E21" s="31">
        <v>2600</v>
      </c>
      <c r="F21" s="31">
        <v>2800</v>
      </c>
    </row>
    <row r="22" spans="1:6" ht="15" customHeight="1">
      <c r="A22" s="30" t="s">
        <v>55</v>
      </c>
      <c r="B22" s="33">
        <f>SUM(B18:B21)</f>
        <v>37000</v>
      </c>
      <c r="C22" s="33">
        <f>SUM(C18:C21)</f>
        <v>42000</v>
      </c>
      <c r="D22" s="33">
        <f>SUM(D18:D21)</f>
        <v>46300</v>
      </c>
      <c r="E22" s="33">
        <f>SUM(E18:E21)</f>
        <v>52500</v>
      </c>
      <c r="F22" s="33">
        <f>SUM(F18:F21)</f>
        <v>60100</v>
      </c>
    </row>
    <row r="23" spans="1:6" ht="15" customHeight="1">
      <c r="A23" s="32" t="s">
        <v>56</v>
      </c>
      <c r="B23" s="31">
        <v>45000</v>
      </c>
      <c r="C23" s="31">
        <v>47000</v>
      </c>
      <c r="D23" s="31">
        <v>49500</v>
      </c>
      <c r="E23" s="31">
        <v>52000</v>
      </c>
      <c r="F23" s="31">
        <v>55500</v>
      </c>
    </row>
    <row r="24" spans="1:6" ht="15" customHeight="1">
      <c r="A24" s="32" t="s">
        <v>57</v>
      </c>
      <c r="B24" s="31">
        <v>5000</v>
      </c>
      <c r="C24" s="31">
        <v>5200</v>
      </c>
      <c r="D24" s="31">
        <v>5400</v>
      </c>
      <c r="E24" s="31">
        <v>5600</v>
      </c>
      <c r="F24" s="31">
        <v>5800</v>
      </c>
    </row>
    <row r="25" spans="1:6" ht="15" customHeight="1">
      <c r="A25" s="30" t="s">
        <v>58</v>
      </c>
      <c r="B25" s="33">
        <f>B22+B23+B24</f>
        <v>87000</v>
      </c>
      <c r="C25" s="33">
        <f>C22+C23+C24</f>
        <v>94200</v>
      </c>
      <c r="D25" s="33">
        <f>D22+D23+D24</f>
        <v>101200</v>
      </c>
      <c r="E25" s="33">
        <f>E22+E23+E24</f>
        <v>110100</v>
      </c>
      <c r="F25" s="33">
        <f>F22+F23+F24</f>
        <v>121400</v>
      </c>
    </row>
    <row r="27" spans="1:6" ht="15" customHeight="1">
      <c r="A27" s="28" t="s">
        <v>59</v>
      </c>
      <c r="B27" s="29"/>
      <c r="C27" s="29"/>
      <c r="D27" s="29"/>
      <c r="E27" s="29"/>
      <c r="F27" s="29"/>
    </row>
    <row r="28" spans="1:6" ht="15" customHeight="1">
      <c r="A28" s="32" t="s">
        <v>60</v>
      </c>
      <c r="B28" s="31">
        <v>9000</v>
      </c>
      <c r="C28" s="31">
        <v>9800</v>
      </c>
      <c r="D28" s="31">
        <v>10500</v>
      </c>
      <c r="E28" s="31">
        <v>11200</v>
      </c>
      <c r="F28" s="31">
        <v>12000</v>
      </c>
    </row>
    <row r="29" spans="1:6" ht="15" customHeight="1">
      <c r="A29" s="32" t="s">
        <v>61</v>
      </c>
      <c r="B29" s="31">
        <v>4000</v>
      </c>
      <c r="C29" s="31">
        <v>3500</v>
      </c>
      <c r="D29" s="31">
        <v>3000</v>
      </c>
      <c r="E29" s="31">
        <v>2500</v>
      </c>
      <c r="F29" s="31">
        <v>2000</v>
      </c>
    </row>
    <row r="30" spans="1:6" ht="15" customHeight="1">
      <c r="A30" s="32" t="s">
        <v>62</v>
      </c>
      <c r="B30" s="31">
        <v>3000</v>
      </c>
      <c r="C30" s="31">
        <v>3200</v>
      </c>
      <c r="D30" s="31">
        <v>3400</v>
      </c>
      <c r="E30" s="31">
        <v>3600</v>
      </c>
      <c r="F30" s="31">
        <v>3800</v>
      </c>
    </row>
    <row r="31" spans="1:6" ht="15" customHeight="1">
      <c r="A31" s="30" t="s">
        <v>63</v>
      </c>
      <c r="B31" s="33">
        <f>SUM(B28:B30)</f>
        <v>16000</v>
      </c>
      <c r="C31" s="33">
        <f>SUM(C28:C30)</f>
        <v>16500</v>
      </c>
      <c r="D31" s="33">
        <f>SUM(D28:D30)</f>
        <v>16900</v>
      </c>
      <c r="E31" s="33">
        <f>SUM(E28:E30)</f>
        <v>17300</v>
      </c>
      <c r="F31" s="33">
        <f>SUM(F28:F30)</f>
        <v>17800</v>
      </c>
    </row>
    <row r="32" spans="1:6" ht="15" customHeight="1">
      <c r="A32" s="32" t="s">
        <v>64</v>
      </c>
      <c r="B32" s="31">
        <v>25000</v>
      </c>
      <c r="C32" s="31">
        <v>23000</v>
      </c>
      <c r="D32" s="31">
        <v>20500</v>
      </c>
      <c r="E32" s="31">
        <v>18000</v>
      </c>
      <c r="F32" s="31">
        <v>15500</v>
      </c>
    </row>
    <row r="33" spans="1:6" ht="15" customHeight="1">
      <c r="A33" s="32" t="s">
        <v>65</v>
      </c>
      <c r="B33" s="31">
        <v>2000</v>
      </c>
      <c r="C33" s="31">
        <v>2100</v>
      </c>
      <c r="D33" s="31">
        <v>2200</v>
      </c>
      <c r="E33" s="31">
        <v>2300</v>
      </c>
      <c r="F33" s="31">
        <v>2400</v>
      </c>
    </row>
    <row r="34" spans="1:6" ht="15" customHeight="1">
      <c r="A34" s="30" t="s">
        <v>66</v>
      </c>
      <c r="B34" s="33">
        <f>B31+B32+B33</f>
        <v>43000</v>
      </c>
      <c r="C34" s="33">
        <f>C31+C32+C33</f>
        <v>41600</v>
      </c>
      <c r="D34" s="33">
        <f>D31+D32+D33</f>
        <v>39600</v>
      </c>
      <c r="E34" s="33">
        <f>E31+E32+E33</f>
        <v>37600</v>
      </c>
      <c r="F34" s="33">
        <f>F31+F32+F33</f>
        <v>35700</v>
      </c>
    </row>
    <row r="35" spans="1:6" ht="15" customHeight="1">
      <c r="A35" s="30" t="s">
        <v>67</v>
      </c>
      <c r="B35" s="33">
        <f>B25-B34</f>
        <v>44000</v>
      </c>
      <c r="C35" s="33">
        <f>C25-C34</f>
        <v>52600</v>
      </c>
      <c r="D35" s="33">
        <f>D25-D34</f>
        <v>61600</v>
      </c>
      <c r="E35" s="33">
        <f>E25-E34</f>
        <v>72500</v>
      </c>
      <c r="F35" s="33">
        <f>F25-F34</f>
        <v>85700</v>
      </c>
    </row>
  </sheetData>
  <mergeCells count="2">
    <mergeCell ref="A1:F1"/>
    <mergeCell ref="A2:F2"/>
  </mergeCells>
  <pageMargins left="0.3" right="0.3" top="0.4" bottom="0.4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8"/>
  <sheetViews>
    <sheetView showGridLines="0" workbookViewId="0"/>
  </sheetViews>
  <sheetFormatPr defaultColWidth="8.6328125" defaultRowHeight="14.5"/>
  <cols>
    <col min="1" max="1" width="24" style="15" customWidth="1"/>
    <col min="2" max="2" width="11" style="15" customWidth="1"/>
    <col min="3" max="3" width="16" style="15" customWidth="1"/>
    <col min="4" max="4" width="18" style="15" customWidth="1"/>
    <col min="5" max="5" width="42" style="15" customWidth="1"/>
  </cols>
  <sheetData>
    <row r="1" spans="1:5" ht="17.25" customHeight="1">
      <c r="A1" s="35" t="s">
        <v>68</v>
      </c>
    </row>
    <row r="2" spans="1:5" ht="15" customHeight="1">
      <c r="A2" s="45" t="s">
        <v>69</v>
      </c>
      <c r="B2" s="45"/>
      <c r="C2" s="45"/>
      <c r="D2" s="45"/>
      <c r="E2" s="45"/>
    </row>
    <row r="4" spans="1:5" ht="15" customHeight="1">
      <c r="A4" s="16" t="s">
        <v>70</v>
      </c>
      <c r="B4" s="16" t="s">
        <v>21</v>
      </c>
      <c r="C4" s="16" t="s">
        <v>71</v>
      </c>
      <c r="D4" s="16" t="s">
        <v>72</v>
      </c>
      <c r="E4" s="16" t="s">
        <v>73</v>
      </c>
    </row>
    <row r="5" spans="1:5" ht="15" customHeight="1">
      <c r="A5" s="36" t="s">
        <v>6</v>
      </c>
      <c r="B5" s="37" t="s">
        <v>74</v>
      </c>
      <c r="C5" s="38">
        <v>2</v>
      </c>
      <c r="D5" s="38">
        <v>1.5</v>
      </c>
      <c r="E5" s="39" t="s">
        <v>75</v>
      </c>
    </row>
    <row r="6" spans="1:5" ht="15" customHeight="1">
      <c r="A6" s="36" t="s">
        <v>25</v>
      </c>
      <c r="B6" s="37" t="s">
        <v>74</v>
      </c>
      <c r="C6" s="38">
        <v>1</v>
      </c>
      <c r="D6" s="38">
        <v>0.75</v>
      </c>
      <c r="E6" s="39" t="s">
        <v>76</v>
      </c>
    </row>
    <row r="7" spans="1:5" ht="15" customHeight="1">
      <c r="A7" s="36" t="s">
        <v>26</v>
      </c>
      <c r="B7" s="37" t="s">
        <v>74</v>
      </c>
      <c r="C7" s="38">
        <v>0.5</v>
      </c>
      <c r="D7" s="38">
        <v>0.25</v>
      </c>
      <c r="E7" s="39" t="s">
        <v>77</v>
      </c>
    </row>
    <row r="8" spans="1:5" ht="15" customHeight="1">
      <c r="A8" s="36" t="s">
        <v>28</v>
      </c>
      <c r="B8" s="37" t="s">
        <v>74</v>
      </c>
      <c r="C8" s="34">
        <v>0.4</v>
      </c>
      <c r="D8" s="34">
        <v>0.3</v>
      </c>
      <c r="E8" s="39" t="s">
        <v>78</v>
      </c>
    </row>
    <row r="9" spans="1:5" ht="15" customHeight="1">
      <c r="A9" s="36" t="s">
        <v>29</v>
      </c>
      <c r="B9" s="37" t="s">
        <v>74</v>
      </c>
      <c r="C9" s="34">
        <v>0.15</v>
      </c>
      <c r="D9" s="34">
        <v>0.1</v>
      </c>
      <c r="E9" s="39" t="s">
        <v>79</v>
      </c>
    </row>
    <row r="10" spans="1:5" ht="15" customHeight="1">
      <c r="A10" s="36" t="s">
        <v>7</v>
      </c>
      <c r="B10" s="37" t="s">
        <v>74</v>
      </c>
      <c r="C10" s="34">
        <v>0.1</v>
      </c>
      <c r="D10" s="34">
        <v>0.06</v>
      </c>
      <c r="E10" s="39" t="s">
        <v>80</v>
      </c>
    </row>
    <row r="11" spans="1:5" ht="15" customHeight="1">
      <c r="A11" s="36" t="s">
        <v>30</v>
      </c>
      <c r="B11" s="37" t="s">
        <v>74</v>
      </c>
      <c r="C11" s="34">
        <v>0.08</v>
      </c>
      <c r="D11" s="34">
        <v>0.05</v>
      </c>
      <c r="E11" s="39" t="s">
        <v>81</v>
      </c>
    </row>
    <row r="12" spans="1:5" ht="15" customHeight="1">
      <c r="A12" s="36" t="s">
        <v>8</v>
      </c>
      <c r="B12" s="37" t="s">
        <v>74</v>
      </c>
      <c r="C12" s="34">
        <v>0.15</v>
      </c>
      <c r="D12" s="34">
        <v>0.1</v>
      </c>
      <c r="E12" s="39" t="s">
        <v>82</v>
      </c>
    </row>
    <row r="13" spans="1:5" ht="15" customHeight="1">
      <c r="A13" s="36" t="s">
        <v>9</v>
      </c>
      <c r="B13" s="37" t="s">
        <v>83</v>
      </c>
      <c r="C13" s="38">
        <v>1</v>
      </c>
      <c r="D13" s="38">
        <v>1.5</v>
      </c>
      <c r="E13" s="39" t="s">
        <v>84</v>
      </c>
    </row>
    <row r="14" spans="1:5" ht="15" customHeight="1">
      <c r="A14" s="36" t="s">
        <v>32</v>
      </c>
      <c r="B14" s="37" t="s">
        <v>83</v>
      </c>
      <c r="C14" s="38">
        <v>0.45</v>
      </c>
      <c r="D14" s="38">
        <v>0.6</v>
      </c>
      <c r="E14" s="39" t="s">
        <v>85</v>
      </c>
    </row>
    <row r="15" spans="1:5" ht="15" customHeight="1">
      <c r="A15" s="36" t="s">
        <v>10</v>
      </c>
      <c r="B15" s="37" t="s">
        <v>74</v>
      </c>
      <c r="C15" s="38">
        <v>6</v>
      </c>
      <c r="D15" s="38">
        <v>3</v>
      </c>
      <c r="E15" s="39" t="s">
        <v>86</v>
      </c>
    </row>
    <row r="16" spans="1:5" ht="15" customHeight="1">
      <c r="A16" s="36" t="s">
        <v>11</v>
      </c>
      <c r="B16" s="37" t="s">
        <v>74</v>
      </c>
      <c r="C16" s="38">
        <v>1.2</v>
      </c>
      <c r="D16" s="38">
        <v>0.9</v>
      </c>
      <c r="E16" s="39" t="s">
        <v>87</v>
      </c>
    </row>
    <row r="17" spans="1:5" ht="15" customHeight="1">
      <c r="A17" s="36" t="s">
        <v>34</v>
      </c>
      <c r="B17" s="37" t="s">
        <v>74</v>
      </c>
      <c r="C17" s="38">
        <v>5</v>
      </c>
      <c r="D17" s="38">
        <v>3.5</v>
      </c>
      <c r="E17" s="39" t="s">
        <v>88</v>
      </c>
    </row>
    <row r="18" spans="1:5" ht="15" customHeight="1">
      <c r="A18" s="36" t="s">
        <v>35</v>
      </c>
      <c r="B18" s="37" t="s">
        <v>74</v>
      </c>
      <c r="C18" s="38">
        <v>9</v>
      </c>
      <c r="D18" s="38">
        <v>6</v>
      </c>
      <c r="E18" s="39" t="s">
        <v>89</v>
      </c>
    </row>
  </sheetData>
  <mergeCells count="1">
    <mergeCell ref="A2:E2"/>
  </mergeCells>
  <pageMargins left="0.3" right="0.3" top="0.4" bottom="0.4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Dashboard</vt:lpstr>
      <vt:lpstr>Ratio Calculations</vt:lpstr>
      <vt:lpstr>Raw Data</vt:lpstr>
      <vt:lpstr>Benchmarks</vt:lpstr>
      <vt:lpstr>Benchmarks!Print_Area</vt:lpstr>
      <vt:lpstr>Dashboard!Print_Area</vt:lpstr>
      <vt:lpstr>'Ratio Calculations'!Print_Area</vt:lpstr>
      <vt:lpstr>'Raw Data'!Print_Area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cp:revision>4</cp:revision>
  <dcterms:created xsi:type="dcterms:W3CDTF">2026-08-06T06:48:29Z</dcterms:created>
  <dcterms:modified xsi:type="dcterms:W3CDTF">2026-08-07T01:42:50Z</dcterms:modified>
  <dc:language>en-US</dc:language>
</cp:coreProperties>
</file>